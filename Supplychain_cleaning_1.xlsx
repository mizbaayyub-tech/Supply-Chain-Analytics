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E26DA78-D8B2-477B-9D0D-EC6211F701B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3" r:id="rId1"/>
    <sheet name="supply_chain_data-selected-colu" sheetId="2" r:id="rId2"/>
  </sheets>
  <definedNames>
    <definedName name="ExternalData_1" localSheetId="1" hidden="1">'supply_chain_data-selected-colu'!$B$1:$J$101</definedName>
  </definedNames>
  <calcPr calcId="191029"/>
  <pivotCaches>
    <pivotCache cacheId="5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8DE881-E4CE-4C05-85CD-653DE7F0BC84}" keepAlive="1" name="Query - supply_chain_data-selected-columns" description="Connection to the 'supply_chain_data-selected-columns' query in the workbook." type="5" refreshedVersion="8" background="1" saveData="1">
    <dbPr connection="Provider=Microsoft.Mashup.OleDb.1;Data Source=$Workbook$;Location=supply_chain_data-selected-columns;Extended Properties=&quot;&quot;" command="SELECT * FROM [supply_chain_data-selected-columns]"/>
  </connection>
</connections>
</file>

<file path=xl/sharedStrings.xml><?xml version="1.0" encoding="utf-8"?>
<sst xmlns="http://schemas.openxmlformats.org/spreadsheetml/2006/main" count="341" uniqueCount="130">
  <si>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</si>
  <si>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</si>
  <si>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</si>
  <si>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</si>
  <si>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</si>
  <si>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</si>
  <si>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</si>
  <si>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</si>
  <si>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</si>
  <si>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</si>
  <si>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SKU0</t>
  </si>
  <si>
    <t>Non-binary</t>
  </si>
  <si>
    <t>SKU1</t>
  </si>
  <si>
    <t>Female</t>
  </si>
  <si>
    <t>SKU2</t>
  </si>
  <si>
    <t>Unknown</t>
  </si>
  <si>
    <t>SKU3</t>
  </si>
  <si>
    <t>SKU4</t>
  </si>
  <si>
    <t>SKU5</t>
  </si>
  <si>
    <t>SKU6</t>
  </si>
  <si>
    <t>Male</t>
  </si>
  <si>
    <t>SKU7</t>
  </si>
  <si>
    <t>SKU8</t>
  </si>
  <si>
    <t>SKU9</t>
  </si>
  <si>
    <t>SKU10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</si>
  <si>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</si>
  <si>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</si>
  <si>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</si>
  <si>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</si>
  <si>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</si>
  <si>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</si>
  <si>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</si>
  <si>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</si>
  <si>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</si>
  <si>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</si>
  <si>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</si>
  <si>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</si>
  <si>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</si>
  <si>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</si>
  <si>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</si>
  <si>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</si>
  <si>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</si>
  <si>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</si>
  <si>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</si>
  <si>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</si>
  <si>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</si>
  <si>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</si>
  <si>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</si>
  <si>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</si>
  <si>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</si>
  <si>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</si>
  <si>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</si>
  <si>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</si>
  <si>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</si>
  <si>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</si>
  <si>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</si>
  <si>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</si>
  <si>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</si>
  <si>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</si>
  <si>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</si>
  <si>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</si>
  <si>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</si>
  <si>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</si>
  <si>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</si>
  <si>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</si>
  <si>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</si>
  <si>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</si>
  <si>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</si>
  <si>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</si>
  <si>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</si>
  <si>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</si>
  <si>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</si>
  <si>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</si>
  <si>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</si>
  <si>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</si>
  <si>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</si>
  <si>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</si>
  <si>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</si>
  <si>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</si>
  <si>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</si>
  <si>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</si>
  <si>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</si>
  <si>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</si>
  <si>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</si>
  <si>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</si>
  <si>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</si>
  <si>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</si>
  <si>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</si>
  <si>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</si>
  <si>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</si>
  <si>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</si>
  <si>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</si>
  <si>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</si>
  <si>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</si>
  <si>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</si>
  <si>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</si>
  <si>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</si>
  <si>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</si>
  <si>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</si>
  <si>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</si>
  <si>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</si>
  <si>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</si>
  <si>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</si>
  <si>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</si>
  <si>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</si>
  <si>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</si>
  <si>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</si>
  <si>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</si>
  <si>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</si>
  <si>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</si>
  <si>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</si>
  <si>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</si>
  <si>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</si>
  <si>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</si>
  <si>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Haircare</t>
  </si>
  <si>
    <t>Skincare</t>
  </si>
  <si>
    <t>Cosmetics</t>
  </si>
  <si>
    <t>Row Labels</t>
  </si>
  <si>
    <t>Grand Total</t>
  </si>
  <si>
    <t>Sum of Number of products sold</t>
  </si>
  <si>
    <t>Sum of Revenue generated</t>
  </si>
  <si>
    <t>(All)</t>
  </si>
  <si>
    <t>Sum of Order quantities</t>
  </si>
  <si>
    <t>Sum of Stock levels</t>
  </si>
  <si>
    <t>ORDER QUANTITIES OF PRODUCT  BASED ON PRODUCTS SOLD AND REVENUE GENERATED</t>
  </si>
  <si>
    <t>AVAILABILITY OF PRODUCT WITH THEIR ORDER QUANTITY AND STOCK LEVEL</t>
  </si>
  <si>
    <t>MAX REVENUE IS GENERATED FROM SKINCARE</t>
  </si>
  <si>
    <t xml:space="preserve">MAX QTY OF QUANTITY SOLD AND MAX STOCK LEVEL </t>
  </si>
  <si>
    <t>IS OF HAIR CARE PRODUCTS</t>
  </si>
  <si>
    <t>HIGHEST REVENUE FROM MALE and FEMALE IS FROM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</si>
</sst>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8.843025462964" createdVersion="8" refreshedVersion="8" minRefreshableVersion="3" recordCount="100" xr:uid="{B4761569-2318-4B48-B95A-D55D8A4352E4}">
  <cacheSource type="worksheet">
    <worksheetSource name="supply_chain_data_selected_columns"/>
  </cacheSource>
  <cacheFields count="10">
    <cacheField name="Product type22" numFmtId="0">
      <sharedItems count="3">
        <s v="Haircare"/>
        <s v="Cosmetics"/>
        <s v="Skincare"/>
      </sharedItems>
    </cacheField>
    <cacheField name="SKU" numFmtId="0">
      <sharedItems/>
    </cacheField>
    <cacheField name="Price" numFmtId="165">
      <sharedItems containsSemiMixedTypes="0" containsString="0" containsNumber="1" minValue="1.6999760138659377" maxValue="99.171328638624189"/>
    </cacheField>
    <cacheField name="Availability" numFmtId="0">
      <sharedItems containsSemiMixedTypes="0" containsString="0" containsNumber="1" containsInteger="1" minValue="1" maxValue="100" count="63">
        <n v="61"/>
        <n v="75"/>
        <n v="28"/>
        <n v="56"/>
        <n v="34"/>
        <n v="43"/>
        <n v="16"/>
        <n v="58"/>
        <n v="1"/>
        <n v="23"/>
        <n v="17"/>
        <n v="96"/>
        <n v="32"/>
        <n v="30"/>
        <n v="83"/>
        <n v="55"/>
        <n v="26"/>
        <n v="59"/>
        <n v="11"/>
        <n v="52"/>
        <n v="72"/>
        <n v="3"/>
        <n v="93"/>
        <n v="14"/>
        <n v="22"/>
        <n v="19"/>
        <n v="41"/>
        <n v="97"/>
        <n v="48"/>
        <n v="68"/>
        <n v="29"/>
        <n v="78"/>
        <n v="95"/>
        <n v="65"/>
        <n v="60"/>
        <n v="90"/>
        <n v="74"/>
        <n v="12"/>
        <n v="10"/>
        <n v="91"/>
        <n v="6"/>
        <n v="64"/>
        <n v="35"/>
        <n v="94"/>
        <n v="63"/>
        <n v="24"/>
        <n v="88"/>
        <n v="9"/>
        <n v="5"/>
        <n v="89"/>
        <n v="13"/>
        <n v="87"/>
        <n v="42"/>
        <n v="82"/>
        <n v="100"/>
        <n v="73"/>
        <n v="44"/>
        <n v="99"/>
        <n v="81"/>
        <n v="98"/>
        <n v="62"/>
        <n v="50"/>
        <n v="18"/>
      </sharedItems>
    </cacheField>
    <cacheField name="Number of products sold" numFmtId="0">
      <sharedItems containsSemiMixedTypes="0" containsString="0" containsNumber="1" containsInteger="1" minValue="8" maxValue="996"/>
    </cacheField>
    <cacheField name="Revenue generated" numFmtId="164">
      <sharedItems containsSemiMixedTypes="0" containsString="0" containsNumber="1" minValue="1061.618523013288" maxValue="9866.465457979697"/>
    </cacheField>
    <cacheField name="Customer demographics" numFmtId="0">
      <sharedItems count="4">
        <s v="Male"/>
        <s v="Non-binary"/>
        <s v="Unknown"/>
        <s v="Female"/>
      </sharedItems>
    </cacheField>
    <cacheField name="Stock levels" numFmtId="0">
      <sharedItems containsSemiMixedTypes="0" containsString="0" containsNumber="1" containsInteger="1" minValue="0" maxValue="100" count="65">
        <n v="100"/>
        <n v="69"/>
        <n v="6"/>
        <n v="66"/>
        <n v="1"/>
        <n v="89"/>
        <n v="12"/>
        <n v="60"/>
        <n v="64"/>
        <n v="10"/>
        <n v="55"/>
        <n v="4"/>
        <n v="41"/>
        <n v="84"/>
        <n v="15"/>
        <n v="58"/>
        <n v="54"/>
        <n v="39"/>
        <n v="53"/>
        <n v="93"/>
        <n v="73"/>
        <n v="13"/>
        <n v="57"/>
        <n v="45"/>
        <n v="96"/>
        <n v="76"/>
        <n v="27"/>
        <n v="97"/>
        <n v="17"/>
        <n v="31"/>
        <n v="77"/>
        <n v="11"/>
        <n v="23"/>
        <n v="67"/>
        <n v="18"/>
        <n v="5"/>
        <n v="30"/>
        <n v="32"/>
        <n v="42"/>
        <n v="2"/>
        <n v="48"/>
        <n v="46"/>
        <n v="33"/>
        <n v="90"/>
        <n v="36"/>
        <n v="9"/>
        <n v="38"/>
        <n v="14"/>
        <n v="25"/>
        <n v="63"/>
        <n v="80"/>
        <n v="86"/>
        <n v="59"/>
        <n v="0"/>
        <n v="47"/>
        <n v="92"/>
        <n v="65"/>
        <n v="71"/>
        <n v="51"/>
        <n v="82"/>
        <n v="98"/>
        <n v="78"/>
        <n v="16"/>
        <n v="22"/>
        <n v="95"/>
      </sharedItems>
    </cacheField>
    <cacheField name="Lead times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 count="61">
        <n v="52"/>
        <n v="88"/>
        <n v="44"/>
        <n v="96"/>
        <n v="64"/>
        <n v="71"/>
        <n v="85"/>
        <n v="11"/>
        <n v="46"/>
        <n v="59"/>
        <n v="21"/>
        <n v="2"/>
        <n v="72"/>
        <n v="29"/>
        <n v="66"/>
        <n v="78"/>
        <n v="41"/>
        <n v="27"/>
        <n v="75"/>
        <n v="19"/>
        <n v="54"/>
        <n v="67"/>
        <n v="26"/>
        <n v="68"/>
        <n v="9"/>
        <n v="20"/>
        <n v="58"/>
        <n v="32"/>
        <n v="28"/>
        <n v="15"/>
        <n v="37"/>
        <n v="51"/>
        <n v="7"/>
        <n v="22"/>
        <n v="36"/>
        <n v="24"/>
        <n v="60"/>
        <n v="61"/>
        <n v="82"/>
        <n v="39"/>
        <n v="1"/>
        <n v="38"/>
        <n v="69"/>
        <n v="95"/>
        <n v="55"/>
        <n v="83"/>
        <n v="8"/>
        <n v="4"/>
        <n v="10"/>
        <n v="48"/>
        <n v="40"/>
        <n v="35"/>
        <n v="56"/>
        <n v="62"/>
        <n v="77"/>
        <n v="6"/>
        <n v="94"/>
        <n v="57"/>
        <n v="63"/>
        <n v="80"/>
        <n v="3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SKU51"/>
    <n v="26.70076097246173"/>
    <x v="0"/>
    <n v="154"/>
    <n v="9866.465457979697"/>
    <x v="0"/>
    <x v="0"/>
    <n v="4"/>
    <x v="0"/>
  </r>
  <r>
    <x v="1"/>
    <s v="SKU38"/>
    <n v="52.075930682707799"/>
    <x v="1"/>
    <n v="705"/>
    <n v="9692.3180402184316"/>
    <x v="1"/>
    <x v="1"/>
    <n v="1"/>
    <x v="1"/>
  </r>
  <r>
    <x v="2"/>
    <s v="SKU31"/>
    <n v="50.847393051718697"/>
    <x v="2"/>
    <n v="168"/>
    <n v="9655.1351027193978"/>
    <x v="0"/>
    <x v="2"/>
    <n v="17"/>
    <x v="2"/>
  </r>
  <r>
    <x v="2"/>
    <s v="SKU90"/>
    <n v="13.881913501359142"/>
    <x v="3"/>
    <n v="320"/>
    <n v="9592.6335702803117"/>
    <x v="1"/>
    <x v="3"/>
    <n v="18"/>
    <x v="3"/>
  </r>
  <r>
    <x v="0"/>
    <s v="SKU2"/>
    <n v="11.319683293090566"/>
    <x v="4"/>
    <n v="8"/>
    <n v="9577.7496258687297"/>
    <x v="2"/>
    <x v="4"/>
    <n v="10"/>
    <x v="1"/>
  </r>
  <r>
    <x v="2"/>
    <s v="SKU32"/>
    <n v="79.209936015656723"/>
    <x v="5"/>
    <n v="781"/>
    <n v="9571.5504873278187"/>
    <x v="2"/>
    <x v="5"/>
    <n v="13"/>
    <x v="4"/>
  </r>
  <r>
    <x v="2"/>
    <s v="SKU67"/>
    <n v="87.755432354001073"/>
    <x v="6"/>
    <n v="513"/>
    <n v="9473.7980325083372"/>
    <x v="2"/>
    <x v="6"/>
    <n v="9"/>
    <x v="5"/>
  </r>
  <r>
    <x v="1"/>
    <s v="SKU88"/>
    <n v="75.27040697572501"/>
    <x v="7"/>
    <n v="737"/>
    <n v="9444.7420330629793"/>
    <x v="0"/>
    <x v="7"/>
    <n v="18"/>
    <x v="6"/>
  </r>
  <r>
    <x v="2"/>
    <s v="SKU52"/>
    <n v="98.031829656465078"/>
    <x v="8"/>
    <n v="820"/>
    <n v="9435.7626089121295"/>
    <x v="0"/>
    <x v="8"/>
    <n v="11"/>
    <x v="7"/>
  </r>
  <r>
    <x v="0"/>
    <s v="SKU18"/>
    <n v="36.443627770460935"/>
    <x v="9"/>
    <n v="620"/>
    <n v="9364.6735050761727"/>
    <x v="2"/>
    <x v="9"/>
    <n v="10"/>
    <x v="8"/>
  </r>
  <r>
    <x v="0"/>
    <s v="SKU99"/>
    <n v="68.517832699276639"/>
    <x v="10"/>
    <n v="627"/>
    <n v="9185.1858291817043"/>
    <x v="2"/>
    <x v="10"/>
    <n v="8"/>
    <x v="9"/>
  </r>
  <r>
    <x v="2"/>
    <s v="SKU34"/>
    <n v="37.467592329842461"/>
    <x v="11"/>
    <n v="602"/>
    <n v="9061.7108955077238"/>
    <x v="2"/>
    <x v="4"/>
    <n v="26"/>
    <x v="10"/>
  </r>
  <r>
    <x v="0"/>
    <s v="SKU24"/>
    <n v="4.1563083593111081"/>
    <x v="12"/>
    <n v="209"/>
    <n v="9049.0778609398967"/>
    <x v="0"/>
    <x v="11"/>
    <n v="26"/>
    <x v="11"/>
  </r>
  <r>
    <x v="2"/>
    <s v="SKU60"/>
    <n v="17.028027920188702"/>
    <x v="6"/>
    <n v="380"/>
    <n v="8864.0843495864356"/>
    <x v="3"/>
    <x v="12"/>
    <n v="27"/>
    <x v="12"/>
  </r>
  <r>
    <x v="1"/>
    <s v="SKU23"/>
    <n v="4.3243411858641636"/>
    <x v="13"/>
    <n v="391"/>
    <n v="8858.367571011484"/>
    <x v="2"/>
    <x v="13"/>
    <n v="5"/>
    <x v="13"/>
  </r>
  <r>
    <x v="1"/>
    <s v="SKU85"/>
    <n v="76.962994415193876"/>
    <x v="14"/>
    <n v="25"/>
    <n v="8684.6130592538575"/>
    <x v="3"/>
    <x v="14"/>
    <n v="18"/>
    <x v="14"/>
  </r>
  <r>
    <x v="0"/>
    <s v="SKU0"/>
    <n v="69.808005542115765"/>
    <x v="15"/>
    <n v="802"/>
    <n v="8661.9967923923832"/>
    <x v="1"/>
    <x v="15"/>
    <n v="7"/>
    <x v="3"/>
  </r>
  <r>
    <x v="2"/>
    <s v="SKU14"/>
    <n v="99.171328638624189"/>
    <x v="16"/>
    <n v="562"/>
    <n v="8653.5709264698016"/>
    <x v="1"/>
    <x v="16"/>
    <n v="29"/>
    <x v="15"/>
  </r>
  <r>
    <x v="2"/>
    <s v="SKU80"/>
    <n v="91.128318350444331"/>
    <x v="1"/>
    <n v="872"/>
    <n v="8651.6726829820655"/>
    <x v="2"/>
    <x v="17"/>
    <n v="14"/>
    <x v="16"/>
  </r>
  <r>
    <x v="2"/>
    <s v="SKU98"/>
    <n v="19.754604866878601"/>
    <x v="5"/>
    <n v="913"/>
    <n v="8525.9525596835265"/>
    <x v="3"/>
    <x v="18"/>
    <n v="1"/>
    <x v="17"/>
  </r>
  <r>
    <x v="1"/>
    <s v="SKU7"/>
    <n v="42.958384382460068"/>
    <x v="17"/>
    <n v="426"/>
    <n v="8496.1038130898378"/>
    <x v="3"/>
    <x v="19"/>
    <n v="17"/>
    <x v="7"/>
  </r>
  <r>
    <x v="2"/>
    <s v="SKU64"/>
    <n v="89.634095608135326"/>
    <x v="18"/>
    <n v="134"/>
    <n v="8458.7308783671779"/>
    <x v="3"/>
    <x v="20"/>
    <n v="27"/>
    <x v="18"/>
  </r>
  <r>
    <x v="2"/>
    <s v="SKU66"/>
    <n v="26.034869773962086"/>
    <x v="19"/>
    <n v="704"/>
    <n v="8367.721618020154"/>
    <x v="3"/>
    <x v="21"/>
    <n v="17"/>
    <x v="19"/>
  </r>
  <r>
    <x v="2"/>
    <s v="SKU65"/>
    <n v="33.697717206643127"/>
    <x v="20"/>
    <n v="457"/>
    <n v="8354.5796864819949"/>
    <x v="0"/>
    <x v="22"/>
    <n v="24"/>
    <x v="20"/>
  </r>
  <r>
    <x v="1"/>
    <s v="SKU29"/>
    <n v="63.447559185207332"/>
    <x v="21"/>
    <n v="253"/>
    <n v="8318.9031946171781"/>
    <x v="3"/>
    <x v="23"/>
    <n v="5"/>
    <x v="21"/>
  </r>
  <r>
    <x v="2"/>
    <s v="SKU53"/>
    <n v="30.341470711214214"/>
    <x v="22"/>
    <n v="242"/>
    <n v="8232.3348294258212"/>
    <x v="0"/>
    <x v="24"/>
    <n v="25"/>
    <x v="20"/>
  </r>
  <r>
    <x v="1"/>
    <s v="SKU71"/>
    <n v="6.3815331627479663"/>
    <x v="23"/>
    <n v="637"/>
    <n v="8180.3370854254426"/>
    <x v="3"/>
    <x v="25"/>
    <n v="2"/>
    <x v="22"/>
  </r>
  <r>
    <x v="2"/>
    <s v="SKU20"/>
    <n v="96.341072439963384"/>
    <x v="24"/>
    <n v="320"/>
    <n v="8128.0276968511916"/>
    <x v="2"/>
    <x v="26"/>
    <n v="12"/>
    <x v="23"/>
  </r>
  <r>
    <x v="1"/>
    <s v="SKU49"/>
    <n v="78.897913205640037"/>
    <x v="25"/>
    <n v="99"/>
    <n v="8001.6132065190022"/>
    <x v="2"/>
    <x v="27"/>
    <n v="24"/>
    <x v="24"/>
  </r>
  <r>
    <x v="1"/>
    <s v="SKU73"/>
    <n v="83.851017681304597"/>
    <x v="26"/>
    <n v="375"/>
    <n v="7910.8869161406856"/>
    <x v="0"/>
    <x v="28"/>
    <n v="25"/>
    <x v="14"/>
  </r>
  <r>
    <x v="0"/>
    <s v="SKU79"/>
    <n v="57.057031221103223"/>
    <x v="3"/>
    <n v="198"/>
    <n v="7888.7232684270812"/>
    <x v="1"/>
    <x v="29"/>
    <n v="25"/>
    <x v="25"/>
  </r>
  <r>
    <x v="1"/>
    <s v="SKU94"/>
    <n v="3.0376887246314141"/>
    <x v="27"/>
    <n v="987"/>
    <n v="7888.3565466618729"/>
    <x v="2"/>
    <x v="30"/>
    <n v="26"/>
    <x v="12"/>
  </r>
  <r>
    <x v="2"/>
    <s v="SKU6"/>
    <n v="4.0783328631079447"/>
    <x v="28"/>
    <n v="65"/>
    <n v="7823.4765595317367"/>
    <x v="0"/>
    <x v="31"/>
    <n v="15"/>
    <x v="26"/>
  </r>
  <r>
    <x v="2"/>
    <s v="SKU3"/>
    <n v="61.163343016437736"/>
    <x v="29"/>
    <n v="83"/>
    <n v="7766.8364256852328"/>
    <x v="1"/>
    <x v="32"/>
    <n v="13"/>
    <x v="9"/>
  </r>
  <r>
    <x v="1"/>
    <s v="SKU96"/>
    <n v="24.42313142037338"/>
    <x v="30"/>
    <n v="324"/>
    <n v="7698.4247656321168"/>
    <x v="1"/>
    <x v="33"/>
    <n v="2"/>
    <x v="27"/>
  </r>
  <r>
    <x v="2"/>
    <s v="SKU36"/>
    <n v="9.8130025787540518"/>
    <x v="4"/>
    <n v="963"/>
    <n v="7573.4024578487333"/>
    <x v="3"/>
    <x v="34"/>
    <n v="23"/>
    <x v="28"/>
  </r>
  <r>
    <x v="1"/>
    <s v="SKU8"/>
    <n v="68.717596748527328"/>
    <x v="31"/>
    <n v="150"/>
    <n v="7517.363210631127"/>
    <x v="3"/>
    <x v="35"/>
    <n v="10"/>
    <x v="29"/>
  </r>
  <r>
    <x v="2"/>
    <s v="SKU1"/>
    <n v="14.843523275084339"/>
    <x v="32"/>
    <n v="736"/>
    <n v="7460.9000654458487"/>
    <x v="3"/>
    <x v="18"/>
    <n v="30"/>
    <x v="30"/>
  </r>
  <r>
    <x v="0"/>
    <s v="SKU48"/>
    <n v="76.035544426891718"/>
    <x v="2"/>
    <n v="29"/>
    <n v="7397.0710045871801"/>
    <x v="1"/>
    <x v="36"/>
    <n v="16"/>
    <x v="24"/>
  </r>
  <r>
    <x v="0"/>
    <s v="SKU95"/>
    <n v="77.903927219447752"/>
    <x v="33"/>
    <n v="672"/>
    <n v="7386.3639440486641"/>
    <x v="2"/>
    <x v="14"/>
    <n v="14"/>
    <x v="22"/>
  </r>
  <r>
    <x v="1"/>
    <s v="SKU44"/>
    <n v="51.35579091311039"/>
    <x v="4"/>
    <n v="919"/>
    <n v="7152.2860494355145"/>
    <x v="3"/>
    <x v="21"/>
    <n v="19"/>
    <x v="12"/>
  </r>
  <r>
    <x v="2"/>
    <s v="SKU47"/>
    <n v="95.712135880936088"/>
    <x v="22"/>
    <n v="910"/>
    <n v="7089.4742499341864"/>
    <x v="0"/>
    <x v="11"/>
    <n v="15"/>
    <x v="31"/>
  </r>
  <r>
    <x v="1"/>
    <s v="SKU21"/>
    <n v="84.893868984950828"/>
    <x v="34"/>
    <n v="601"/>
    <n v="7087.0526963574366"/>
    <x v="2"/>
    <x v="1"/>
    <n v="25"/>
    <x v="32"/>
  </r>
  <r>
    <x v="0"/>
    <s v="SKU70"/>
    <n v="47.914541824058766"/>
    <x v="35"/>
    <n v="32"/>
    <n v="7014.8879872033885"/>
    <x v="3"/>
    <x v="9"/>
    <n v="12"/>
    <x v="33"/>
  </r>
  <r>
    <x v="0"/>
    <s v="SKU61"/>
    <n v="52.028749903294923"/>
    <x v="9"/>
    <n v="117"/>
    <n v="6885.5893508962527"/>
    <x v="2"/>
    <x v="37"/>
    <n v="23"/>
    <x v="34"/>
  </r>
  <r>
    <x v="1"/>
    <s v="SKU35"/>
    <n v="84.957786816350435"/>
    <x v="18"/>
    <n v="449"/>
    <n v="6541.3293448024651"/>
    <x v="3"/>
    <x v="38"/>
    <n v="27"/>
    <x v="6"/>
  </r>
  <r>
    <x v="2"/>
    <s v="SKU16"/>
    <n v="7.5471721097912718"/>
    <x v="36"/>
    <n v="280"/>
    <n v="6453.7979681762854"/>
    <x v="3"/>
    <x v="39"/>
    <n v="5"/>
    <x v="15"/>
  </r>
  <r>
    <x v="1"/>
    <s v="SKU28"/>
    <n v="2.3972747055971411"/>
    <x v="37"/>
    <n v="394"/>
    <n v="6117.3246150839923"/>
    <x v="3"/>
    <x v="40"/>
    <n v="15"/>
    <x v="35"/>
  </r>
  <r>
    <x v="2"/>
    <s v="SKU11"/>
    <n v="90.635459982288666"/>
    <x v="32"/>
    <n v="960"/>
    <n v="6099.944115581452"/>
    <x v="3"/>
    <x v="41"/>
    <n v="23"/>
    <x v="36"/>
  </r>
  <r>
    <x v="0"/>
    <s v="SKU54"/>
    <n v="31.146243160240854"/>
    <x v="18"/>
    <n v="622"/>
    <n v="6088.0214799408586"/>
    <x v="1"/>
    <x v="42"/>
    <n v="22"/>
    <x v="37"/>
  </r>
  <r>
    <x v="1"/>
    <s v="SKU89"/>
    <n v="97.760085581938668"/>
    <x v="38"/>
    <n v="134"/>
    <n v="5924.682566853231"/>
    <x v="2"/>
    <x v="43"/>
    <n v="1"/>
    <x v="17"/>
  </r>
  <r>
    <x v="1"/>
    <s v="SKU50"/>
    <n v="14.203484264803022"/>
    <x v="39"/>
    <n v="633"/>
    <n v="5910.8853896688988"/>
    <x v="3"/>
    <x v="29"/>
    <n v="23"/>
    <x v="38"/>
  </r>
  <r>
    <x v="0"/>
    <s v="SKU43"/>
    <n v="11.743271776309239"/>
    <x v="40"/>
    <n v="598"/>
    <n v="5737.425599119023"/>
    <x v="2"/>
    <x v="44"/>
    <n v="29"/>
    <x v="6"/>
  </r>
  <r>
    <x v="2"/>
    <s v="SKU40"/>
    <n v="80.541424170940331"/>
    <x v="27"/>
    <n v="933"/>
    <n v="5724.9593504562654"/>
    <x v="3"/>
    <x v="43"/>
    <n v="20"/>
    <x v="39"/>
  </r>
  <r>
    <x v="0"/>
    <s v="SKU74"/>
    <n v="3.1700114135661548"/>
    <x v="41"/>
    <n v="904"/>
    <n v="5709.9452959692871"/>
    <x v="3"/>
    <x v="12"/>
    <n v="6"/>
    <x v="40"/>
  </r>
  <r>
    <x v="2"/>
    <s v="SKU41"/>
    <n v="99.113291615317166"/>
    <x v="42"/>
    <n v="556"/>
    <n v="5521.2052590109715"/>
    <x v="3"/>
    <x v="8"/>
    <n v="19"/>
    <x v="41"/>
  </r>
  <r>
    <x v="2"/>
    <s v="SKU15"/>
    <n v="36.98924492862691"/>
    <x v="43"/>
    <n v="469"/>
    <n v="5442.0867853976733"/>
    <x v="1"/>
    <x v="45"/>
    <n v="8"/>
    <x v="42"/>
  </r>
  <r>
    <x v="0"/>
    <s v="SKU76"/>
    <n v="69.108799547430323"/>
    <x v="9"/>
    <n v="241"/>
    <n v="5328.3759842977579"/>
    <x v="0"/>
    <x v="46"/>
    <n v="1"/>
    <x v="33"/>
  </r>
  <r>
    <x v="0"/>
    <s v="SKU45"/>
    <n v="33.78413803306551"/>
    <x v="8"/>
    <n v="24"/>
    <n v="5267.9568075105208"/>
    <x v="0"/>
    <x v="19"/>
    <n v="7"/>
    <x v="0"/>
  </r>
  <r>
    <x v="1"/>
    <s v="SKU33"/>
    <n v="64.795435000155607"/>
    <x v="44"/>
    <n v="616"/>
    <n v="5149.9983504080365"/>
    <x v="1"/>
    <x v="11"/>
    <n v="17"/>
    <x v="43"/>
  </r>
  <r>
    <x v="0"/>
    <s v="SKU87"/>
    <n v="80.41403665035574"/>
    <x v="45"/>
    <n v="79"/>
    <n v="5133.8467010866916"/>
    <x v="0"/>
    <x v="35"/>
    <n v="7"/>
    <x v="44"/>
  </r>
  <r>
    <x v="2"/>
    <s v="SKU9"/>
    <n v="64.015732941278543"/>
    <x v="42"/>
    <n v="980"/>
    <n v="4971.145987585558"/>
    <x v="2"/>
    <x v="47"/>
    <n v="27"/>
    <x v="45"/>
  </r>
  <r>
    <x v="2"/>
    <s v="SKU56"/>
    <n v="20.986386037043378"/>
    <x v="35"/>
    <n v="93"/>
    <n v="4767.020484344137"/>
    <x v="1"/>
    <x v="48"/>
    <n v="23"/>
    <x v="45"/>
  </r>
  <r>
    <x v="0"/>
    <s v="SKU93"/>
    <n v="69.290831002905492"/>
    <x v="46"/>
    <n v="114"/>
    <n v="4531.4021336919095"/>
    <x v="2"/>
    <x v="49"/>
    <n v="17"/>
    <x v="14"/>
  </r>
  <r>
    <x v="0"/>
    <s v="SKU81"/>
    <n v="72.819206930318217"/>
    <x v="47"/>
    <n v="774"/>
    <n v="4384.4134000458625"/>
    <x v="2"/>
    <x v="40"/>
    <n v="6"/>
    <x v="46"/>
  </r>
  <r>
    <x v="0"/>
    <s v="SKU97"/>
    <n v="3.5261112591434158"/>
    <x v="3"/>
    <n v="62"/>
    <n v="4370.9165799845359"/>
    <x v="0"/>
    <x v="41"/>
    <n v="19"/>
    <x v="47"/>
  </r>
  <r>
    <x v="2"/>
    <s v="SKU63"/>
    <n v="13.017376785287857"/>
    <x v="15"/>
    <n v="246"/>
    <n v="4256.9491408502254"/>
    <x v="1"/>
    <x v="16"/>
    <n v="19"/>
    <x v="48"/>
  </r>
  <r>
    <x v="2"/>
    <s v="SKU13"/>
    <n v="16.160393317379977"/>
    <x v="48"/>
    <n v="249"/>
    <n v="4052.7384162378667"/>
    <x v="0"/>
    <x v="50"/>
    <n v="8"/>
    <x v="49"/>
  </r>
  <r>
    <x v="1"/>
    <s v="SKU62"/>
    <n v="72.796353955587364"/>
    <x v="49"/>
    <n v="270"/>
    <n v="3899.7468337292244"/>
    <x v="2"/>
    <x v="51"/>
    <n v="2"/>
    <x v="50"/>
  </r>
  <r>
    <x v="0"/>
    <s v="SKU26"/>
    <n v="97.44694661789282"/>
    <x v="47"/>
    <n v="353"/>
    <n v="3716.4933258940368"/>
    <x v="0"/>
    <x v="52"/>
    <n v="16"/>
    <x v="49"/>
  </r>
  <r>
    <x v="0"/>
    <s v="SKU68"/>
    <n v="37.931812382790319"/>
    <x v="30"/>
    <n v="163"/>
    <n v="3550.2184327809919"/>
    <x v="1"/>
    <x v="53"/>
    <n v="8"/>
    <x v="26"/>
  </r>
  <r>
    <x v="2"/>
    <s v="SKU82"/>
    <n v="17.034930739467917"/>
    <x v="50"/>
    <n v="336"/>
    <n v="2943.3818676094515"/>
    <x v="2"/>
    <x v="38"/>
    <n v="19"/>
    <x v="12"/>
  </r>
  <r>
    <x v="0"/>
    <s v="SKU55"/>
    <n v="79.855058340789427"/>
    <x v="6"/>
    <n v="701"/>
    <n v="2925.6751703038126"/>
    <x v="0"/>
    <x v="27"/>
    <n v="11"/>
    <x v="7"/>
  </r>
  <r>
    <x v="0"/>
    <s v="SKU12"/>
    <n v="71.213389075360084"/>
    <x v="26"/>
    <n v="336"/>
    <n v="2873.7414460214413"/>
    <x v="2"/>
    <x v="0"/>
    <n v="30"/>
    <x v="6"/>
  </r>
  <r>
    <x v="0"/>
    <s v="SKU5"/>
    <n v="1.6999760138659377"/>
    <x v="51"/>
    <n v="147"/>
    <n v="2828.3487459757589"/>
    <x v="1"/>
    <x v="43"/>
    <n v="27"/>
    <x v="14"/>
  </r>
  <r>
    <x v="0"/>
    <s v="SKU30"/>
    <n v="8.0228592105263932"/>
    <x v="38"/>
    <n v="327"/>
    <n v="2766.3423668660889"/>
    <x v="0"/>
    <x v="7"/>
    <n v="26"/>
    <x v="51"/>
  </r>
  <r>
    <x v="2"/>
    <s v="SKU4"/>
    <n v="4.8054960363458932"/>
    <x v="16"/>
    <n v="871"/>
    <n v="2686.5051515674468"/>
    <x v="1"/>
    <x v="35"/>
    <n v="3"/>
    <x v="52"/>
  </r>
  <r>
    <x v="1"/>
    <s v="SKU27"/>
    <n v="92.557360812402024"/>
    <x v="52"/>
    <n v="352"/>
    <n v="2686.4572235759833"/>
    <x v="2"/>
    <x v="54"/>
    <n v="9"/>
    <x v="53"/>
  </r>
  <r>
    <x v="1"/>
    <s v="SKU72"/>
    <n v="90.204427520528071"/>
    <x v="46"/>
    <n v="478"/>
    <n v="2633.1219813122557"/>
    <x v="1"/>
    <x v="22"/>
    <n v="29"/>
    <x v="54"/>
  </r>
  <r>
    <x v="1"/>
    <s v="SKU17"/>
    <n v="81.462534369237019"/>
    <x v="53"/>
    <n v="126"/>
    <n v="2629.3964348452619"/>
    <x v="3"/>
    <x v="23"/>
    <n v="17"/>
    <x v="6"/>
  </r>
  <r>
    <x v="0"/>
    <s v="SKU46"/>
    <n v="27.082207199888899"/>
    <x v="1"/>
    <n v="859"/>
    <n v="2556.7673606335957"/>
    <x v="1"/>
    <x v="55"/>
    <n v="29"/>
    <x v="55"/>
  </r>
  <r>
    <x v="2"/>
    <s v="SKU19"/>
    <n v="51.12387008796474"/>
    <x v="54"/>
    <n v="187"/>
    <n v="2553.4955849912149"/>
    <x v="2"/>
    <x v="40"/>
    <n v="11"/>
    <x v="56"/>
  </r>
  <r>
    <x v="0"/>
    <s v="SKU77"/>
    <n v="57.449742958971477"/>
    <x v="23"/>
    <n v="359"/>
    <n v="2483.7601775427947"/>
    <x v="2"/>
    <x v="24"/>
    <n v="28"/>
    <x v="57"/>
  </r>
  <r>
    <x v="2"/>
    <s v="SKU37"/>
    <n v="23.399844752614349"/>
    <x v="48"/>
    <n v="963"/>
    <n v="2438.3399304700288"/>
    <x v="3"/>
    <x v="48"/>
    <n v="8"/>
    <x v="10"/>
  </r>
  <r>
    <x v="0"/>
    <s v="SKU83"/>
    <n v="68.911246211606326"/>
    <x v="53"/>
    <n v="663"/>
    <n v="2411.754632110491"/>
    <x v="2"/>
    <x v="56"/>
    <n v="24"/>
    <x v="32"/>
  </r>
  <r>
    <x v="0"/>
    <s v="SKU22"/>
    <n v="27.679780886501959"/>
    <x v="15"/>
    <n v="884"/>
    <n v="2390.8078665561734"/>
    <x v="2"/>
    <x v="57"/>
    <n v="1"/>
    <x v="58"/>
  </r>
  <r>
    <x v="2"/>
    <s v="SKU10"/>
    <n v="15.707795681912138"/>
    <x v="18"/>
    <n v="996"/>
    <n v="2330.9658020919492"/>
    <x v="1"/>
    <x v="58"/>
    <n v="13"/>
    <x v="59"/>
  </r>
  <r>
    <x v="0"/>
    <s v="SKU25"/>
    <n v="39.629343985092625"/>
    <x v="55"/>
    <n v="142"/>
    <n v="2174.777054350654"/>
    <x v="0"/>
    <x v="59"/>
    <n v="11"/>
    <x v="0"/>
  </r>
  <r>
    <x v="1"/>
    <s v="SKU92"/>
    <n v="47.714233075820232"/>
    <x v="56"/>
    <n v="276"/>
    <n v="2100.1297546259366"/>
    <x v="0"/>
    <x v="43"/>
    <n v="25"/>
    <x v="48"/>
  </r>
  <r>
    <x v="0"/>
    <s v="SKU84"/>
    <n v="89.104367292102253"/>
    <x v="57"/>
    <n v="618"/>
    <n v="2048.2900998487103"/>
    <x v="2"/>
    <x v="20"/>
    <n v="26"/>
    <x v="59"/>
  </r>
  <r>
    <x v="2"/>
    <s v="SKU58"/>
    <n v="59.84156137728931"/>
    <x v="58"/>
    <n v="896"/>
    <n v="2021.1498103371077"/>
    <x v="1"/>
    <x v="9"/>
    <n v="5"/>
    <x v="2"/>
  </r>
  <r>
    <x v="1"/>
    <s v="SKU91"/>
    <n v="62.111965463961788"/>
    <x v="35"/>
    <n v="916"/>
    <n v="1935.2067935075991"/>
    <x v="0"/>
    <x v="60"/>
    <n v="22"/>
    <x v="6"/>
  </r>
  <r>
    <x v="2"/>
    <s v="SKU39"/>
    <n v="19.127477265823256"/>
    <x v="16"/>
    <n v="176"/>
    <n v="1912.4656631007608"/>
    <x v="3"/>
    <x v="61"/>
    <n v="29"/>
    <x v="60"/>
  </r>
  <r>
    <x v="2"/>
    <s v="SKU75"/>
    <n v="92.996884233970661"/>
    <x v="30"/>
    <n v="106"/>
    <n v="1889.073589779335"/>
    <x v="1"/>
    <x v="62"/>
    <n v="20"/>
    <x v="52"/>
  </r>
  <r>
    <x v="2"/>
    <s v="SKU42"/>
    <n v="46.529167614516773"/>
    <x v="59"/>
    <n v="155"/>
    <n v="1839.6094258567639"/>
    <x v="3"/>
    <x v="63"/>
    <n v="27"/>
    <x v="57"/>
  </r>
  <r>
    <x v="2"/>
    <s v="SKU69"/>
    <n v="54.865528517069791"/>
    <x v="60"/>
    <n v="511"/>
    <n v="1752.3810874841247"/>
    <x v="1"/>
    <x v="64"/>
    <n v="1"/>
    <x v="17"/>
  </r>
  <r>
    <x v="0"/>
    <s v="SKU57"/>
    <n v="49.263205350734154"/>
    <x v="33"/>
    <n v="227"/>
    <n v="1605.8669003924058"/>
    <x v="2"/>
    <x v="35"/>
    <n v="18"/>
    <x v="31"/>
  </r>
  <r>
    <x v="0"/>
    <s v="SKU78"/>
    <n v="6.3068831761119153"/>
    <x v="61"/>
    <n v="946"/>
    <n v="1292.4584179377562"/>
    <x v="2"/>
    <x v="35"/>
    <n v="4"/>
    <x v="31"/>
  </r>
  <r>
    <x v="2"/>
    <s v="SKU86"/>
    <n v="19.998176940404221"/>
    <x v="62"/>
    <n v="223"/>
    <n v="1229.5910285649834"/>
    <x v="2"/>
    <x v="37"/>
    <n v="14"/>
    <x v="33"/>
  </r>
  <r>
    <x v="1"/>
    <s v="SKU59"/>
    <n v="63.828398347710966"/>
    <x v="13"/>
    <n v="484"/>
    <n v="1061.618523013288"/>
    <x v="1"/>
    <x v="0"/>
    <n v="16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31B03-68C0-4F42-8D5D-73D9EEF2B6FE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2" firstHeaderRow="1" firstDataRow="1" firstDataCol="1"/>
  <pivotFields count="10">
    <pivotField showAll="0"/>
    <pivotField showAll="0"/>
    <pivotField numFmtId="165" showAll="0"/>
    <pivotField showAll="0"/>
    <pivotField showAll="0"/>
    <pivotField dataField="1" numFmtId="164"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 generated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D9898-E81F-4940-B856-5D7CF7031065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C14" firstHeaderRow="0" firstDataRow="1" firstDataCol="1" rowPageCount="1" colPageCount="1"/>
  <pivotFields count="10">
    <pivotField axis="axisRow" showAll="0">
      <items count="4">
        <item x="1"/>
        <item x="0"/>
        <item x="2"/>
        <item t="default"/>
      </items>
    </pivotField>
    <pivotField showAll="0"/>
    <pivotField numFmtId="165" showAll="0"/>
    <pivotField axis="axisPage" showAll="0">
      <items count="64">
        <item x="8"/>
        <item x="21"/>
        <item x="48"/>
        <item x="40"/>
        <item x="47"/>
        <item x="38"/>
        <item x="18"/>
        <item x="37"/>
        <item x="50"/>
        <item x="23"/>
        <item x="6"/>
        <item x="10"/>
        <item x="62"/>
        <item x="25"/>
        <item x="24"/>
        <item x="9"/>
        <item x="45"/>
        <item x="16"/>
        <item x="2"/>
        <item x="30"/>
        <item x="13"/>
        <item x="12"/>
        <item x="4"/>
        <item x="42"/>
        <item x="26"/>
        <item x="52"/>
        <item x="5"/>
        <item x="56"/>
        <item x="28"/>
        <item x="61"/>
        <item x="19"/>
        <item x="15"/>
        <item x="3"/>
        <item x="7"/>
        <item x="17"/>
        <item x="34"/>
        <item x="0"/>
        <item x="60"/>
        <item x="44"/>
        <item x="41"/>
        <item x="33"/>
        <item x="29"/>
        <item x="20"/>
        <item x="55"/>
        <item x="36"/>
        <item x="1"/>
        <item x="31"/>
        <item x="58"/>
        <item x="53"/>
        <item x="14"/>
        <item x="51"/>
        <item x="46"/>
        <item x="49"/>
        <item x="35"/>
        <item x="39"/>
        <item x="22"/>
        <item x="43"/>
        <item x="32"/>
        <item x="11"/>
        <item x="27"/>
        <item x="59"/>
        <item x="57"/>
        <item x="54"/>
        <item t="default"/>
      </items>
    </pivotField>
    <pivotField showAll="0"/>
    <pivotField numFmtId="164" showAll="0"/>
    <pivotField showAll="0"/>
    <pivotField dataField="1" showAll="0">
      <items count="66">
        <item x="53"/>
        <item x="4"/>
        <item x="39"/>
        <item x="11"/>
        <item x="35"/>
        <item x="2"/>
        <item x="45"/>
        <item x="9"/>
        <item x="31"/>
        <item x="6"/>
        <item x="21"/>
        <item x="47"/>
        <item x="14"/>
        <item x="62"/>
        <item x="28"/>
        <item x="34"/>
        <item x="63"/>
        <item x="32"/>
        <item x="48"/>
        <item x="26"/>
        <item x="36"/>
        <item x="29"/>
        <item x="37"/>
        <item x="42"/>
        <item x="44"/>
        <item x="46"/>
        <item x="17"/>
        <item x="12"/>
        <item x="38"/>
        <item x="23"/>
        <item x="41"/>
        <item x="54"/>
        <item x="40"/>
        <item x="58"/>
        <item x="18"/>
        <item x="16"/>
        <item x="10"/>
        <item x="22"/>
        <item x="15"/>
        <item x="52"/>
        <item x="7"/>
        <item x="49"/>
        <item x="8"/>
        <item x="56"/>
        <item x="3"/>
        <item x="33"/>
        <item x="1"/>
        <item x="57"/>
        <item x="20"/>
        <item x="25"/>
        <item x="30"/>
        <item x="61"/>
        <item x="50"/>
        <item x="59"/>
        <item x="13"/>
        <item x="51"/>
        <item x="5"/>
        <item x="43"/>
        <item x="55"/>
        <item x="19"/>
        <item x="64"/>
        <item x="24"/>
        <item x="27"/>
        <item x="60"/>
        <item x="0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Order quantities" fld="9" baseField="0" baseItem="0"/>
    <dataField name="Sum of Stock level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ABC2E-30EB-4840-8C9F-42346B917445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 rowPageCount="1" colPageCount="1"/>
  <pivotFields count="10">
    <pivotField axis="axisRow" showAll="0">
      <items count="4">
        <item x="1"/>
        <item x="0"/>
        <item x="2"/>
        <item t="default"/>
      </items>
    </pivotField>
    <pivotField showAll="0"/>
    <pivotField numFmtId="165" showAll="0"/>
    <pivotField showAll="0"/>
    <pivotField dataField="1" showAll="0"/>
    <pivotField dataField="1" numFmtId="164" showAll="0"/>
    <pivotField showAll="0"/>
    <pivotField showAll="0"/>
    <pivotField showAll="0"/>
    <pivotField axis="axisPage" multipleItemSelectionAllowed="1" showAll="0">
      <items count="62">
        <item x="40"/>
        <item x="11"/>
        <item x="47"/>
        <item x="55"/>
        <item x="32"/>
        <item x="46"/>
        <item x="24"/>
        <item x="48"/>
        <item x="7"/>
        <item x="29"/>
        <item x="19"/>
        <item x="25"/>
        <item x="10"/>
        <item x="33"/>
        <item x="35"/>
        <item x="22"/>
        <item x="17"/>
        <item x="28"/>
        <item x="13"/>
        <item x="27"/>
        <item x="60"/>
        <item x="51"/>
        <item x="34"/>
        <item x="30"/>
        <item x="41"/>
        <item x="39"/>
        <item x="50"/>
        <item x="16"/>
        <item x="2"/>
        <item x="8"/>
        <item x="49"/>
        <item x="31"/>
        <item x="0"/>
        <item x="20"/>
        <item x="44"/>
        <item x="52"/>
        <item x="57"/>
        <item x="26"/>
        <item x="9"/>
        <item x="36"/>
        <item x="37"/>
        <item x="53"/>
        <item x="58"/>
        <item x="4"/>
        <item x="14"/>
        <item x="21"/>
        <item x="23"/>
        <item x="42"/>
        <item x="5"/>
        <item x="12"/>
        <item x="18"/>
        <item x="54"/>
        <item x="15"/>
        <item x="59"/>
        <item x="38"/>
        <item x="45"/>
        <item x="6"/>
        <item x="1"/>
        <item x="56"/>
        <item x="43"/>
        <item x="3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Sum of Number of products sold" fld="4" baseField="0" baseItem="0"/>
    <dataField name="Sum of Revenue generated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641187-3665-40B5-BE2A-575095A1D456}" name="Table1" displayName="Table1" ref="A1:J101" totalsRowShown="0" headerRowDxfId="0" dataDxfId="1">
  <autoFilter ref="A1:J101" xr:uid="{65641187-3665-40B5-BE2A-575095A1D456}"/>
  <tableColumns count="10">
    <tableColumn id="1" xr3:uid="{1CF0E019-344E-4E7A-A049-995AE52D871D}" name="Product type" dataDxfId="11"/>
    <tableColumn id="2" xr3:uid="{8EACB790-1034-4062-B68E-7D184FF0C34B}" name="SKU" dataDxfId="10"/>
    <tableColumn id="3" xr3:uid="{0F3EE557-FA4C-4BE5-B769-5A44896FECC0}" name="Price" dataDxfId="9"/>
    <tableColumn id="4" xr3:uid="{9906036C-EF00-4DAF-BFD3-4322C07B4973}" name="Availability" dataDxfId="8"/>
    <tableColumn id="5" xr3:uid="{C4522529-A4DF-463B-8548-87B8A198A536}" name="Number of products sold" dataDxfId="7"/>
    <tableColumn id="6" xr3:uid="{EBFD006B-37A2-4D00-BD43-90EB531872BB}" name="Revenue generated" dataDxfId="6"/>
    <tableColumn id="7" xr3:uid="{4834D684-21E6-4440-9519-6D0DA16E5F72}" name="Customer demographics" dataDxfId="5"/>
    <tableColumn id="8" xr3:uid="{9E4D532F-1D4E-4BEA-B11F-79E10C13515A}" name="Stock levels" dataDxfId="4"/>
    <tableColumn id="9" xr3:uid="{4D8BA056-3E19-4B37-A293-2ABB8462ECDD}" name="Lead times" dataDxfId="3"/>
    <tableColumn id="10" xr3:uid="{6EC224D9-DBAC-41DE-B7EA-EE6D38D5B249}" name="Order quantiti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6A13-93F6-4BC6-AB62-9BA9848E6CC1}">
  <dimension ref="A1:X22"/>
  <sheetViews>
    <sheetView topLeftCell="A8" workbookViewId="0">
      <selection activeCell="X26" sqref="X26"/>
    </sheetView>
  </sheetViews>
  <sheetFormatPr defaultRowHeight="14.4" x14ac:dyDescent="0.3"/>
  <cols>
    <col min="1" max="1" width="12.5546875" bestFit="1" customWidth="1"/>
    <col min="2" max="2" width="24.109375" bestFit="1" customWidth="1"/>
    <col min="3" max="3" width="17.44140625" bestFit="1" customWidth="1"/>
    <col min="4" max="4" width="3" bestFit="1" customWidth="1"/>
    <col min="5" max="6" width="4" bestFit="1" customWidth="1"/>
    <col min="7" max="8" width="3" bestFit="1" customWidth="1"/>
    <col min="9" max="9" width="4" bestFit="1" customWidth="1"/>
    <col min="10" max="19" width="3" bestFit="1" customWidth="1"/>
    <col min="20" max="20" width="4" bestFit="1" customWidth="1"/>
    <col min="21" max="22" width="3" bestFit="1" customWidth="1"/>
    <col min="23" max="23" width="4" bestFit="1" customWidth="1"/>
    <col min="24" max="29" width="3" bestFit="1" customWidth="1"/>
    <col min="30" max="31" width="4" bestFit="1" customWidth="1"/>
    <col min="32" max="33" width="3" bestFit="1" customWidth="1"/>
    <col min="34" max="34" width="4" bestFit="1" customWidth="1"/>
    <col min="35" max="38" width="3" bestFit="1" customWidth="1"/>
    <col min="39" max="39" width="4" bestFit="1" customWidth="1"/>
    <col min="40" max="41" width="3" bestFit="1" customWidth="1"/>
    <col min="42" max="42" width="4" bestFit="1" customWidth="1"/>
    <col min="43" max="49" width="3" bestFit="1" customWidth="1"/>
    <col min="50" max="50" width="4" bestFit="1" customWidth="1"/>
    <col min="51" max="58" width="3" bestFit="1" customWidth="1"/>
    <col min="59" max="59" width="4" bestFit="1" customWidth="1"/>
    <col min="60" max="62" width="3" bestFit="1" customWidth="1"/>
    <col min="63" max="63" width="4" bestFit="1" customWidth="1"/>
    <col min="64" max="65" width="3" bestFit="1" customWidth="1"/>
    <col min="66" max="66" width="4" bestFit="1" customWidth="1"/>
    <col min="67" max="67" width="10.77734375" bestFit="1" customWidth="1"/>
    <col min="68" max="68" width="9.5546875" bestFit="1" customWidth="1"/>
    <col min="69" max="69" width="10.5546875" bestFit="1" customWidth="1"/>
    <col min="70" max="70" width="9.5546875" bestFit="1" customWidth="1"/>
    <col min="71" max="71" width="10.5546875" bestFit="1" customWidth="1"/>
    <col min="72" max="74" width="9.5546875" bestFit="1" customWidth="1"/>
    <col min="75" max="76" width="10.5546875" bestFit="1" customWidth="1"/>
    <col min="77" max="77" width="9.5546875" bestFit="1" customWidth="1"/>
    <col min="78" max="79" width="10.5546875" bestFit="1" customWidth="1"/>
    <col min="80" max="90" width="9.5546875" bestFit="1" customWidth="1"/>
    <col min="91" max="91" width="10.5546875" bestFit="1" customWidth="1"/>
    <col min="92" max="94" width="9.5546875" bestFit="1" customWidth="1"/>
    <col min="95" max="96" width="10.5546875" bestFit="1" customWidth="1"/>
    <col min="97" max="99" width="9.5546875" bestFit="1" customWidth="1"/>
    <col min="100" max="101" width="10.5546875" bestFit="1" customWidth="1"/>
    <col min="102" max="106" width="9.5546875" bestFit="1" customWidth="1"/>
    <col min="107" max="107" width="10.5546875" bestFit="1" customWidth="1"/>
    <col min="108" max="111" width="9.5546875" bestFit="1" customWidth="1"/>
    <col min="112" max="112" width="10.5546875" bestFit="1" customWidth="1"/>
    <col min="113" max="114" width="9.5546875" bestFit="1" customWidth="1"/>
    <col min="115" max="115" width="10.5546875" bestFit="1" customWidth="1"/>
    <col min="116" max="118" width="9.5546875" bestFit="1" customWidth="1"/>
    <col min="119" max="120" width="10.5546875" bestFit="1" customWidth="1"/>
    <col min="121" max="122" width="9.5546875" bestFit="1" customWidth="1"/>
    <col min="123" max="123" width="10.5546875" bestFit="1" customWidth="1"/>
    <col min="124" max="124" width="33.6640625" bestFit="1" customWidth="1"/>
    <col min="125" max="125" width="28.88671875" bestFit="1" customWidth="1"/>
  </cols>
  <sheetData>
    <row r="1" spans="1:24" x14ac:dyDescent="0.3">
      <c r="A1" s="3" t="s">
        <v>9</v>
      </c>
      <c r="B1" t="s">
        <v>121</v>
      </c>
    </row>
    <row r="3" spans="1:24" x14ac:dyDescent="0.3">
      <c r="A3" s="3" t="s">
        <v>117</v>
      </c>
      <c r="B3" t="s">
        <v>119</v>
      </c>
      <c r="C3" t="s">
        <v>120</v>
      </c>
    </row>
    <row r="4" spans="1:24" x14ac:dyDescent="0.3">
      <c r="A4" s="4" t="s">
        <v>116</v>
      </c>
      <c r="B4">
        <v>11757</v>
      </c>
      <c r="C4" s="1">
        <v>161521.26599948315</v>
      </c>
      <c r="F4" s="6" t="s">
        <v>124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4" x14ac:dyDescent="0.3">
      <c r="A5" s="4" t="s">
        <v>114</v>
      </c>
      <c r="B5">
        <v>13611</v>
      </c>
      <c r="C5" s="1">
        <v>174455.39060546231</v>
      </c>
    </row>
    <row r="6" spans="1:24" x14ac:dyDescent="0.3">
      <c r="A6" s="4" t="s">
        <v>115</v>
      </c>
      <c r="B6">
        <v>20731</v>
      </c>
      <c r="C6" s="1">
        <v>241628.16213306331</v>
      </c>
      <c r="J6" s="7" t="s">
        <v>126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4" x14ac:dyDescent="0.3">
      <c r="A7" s="4" t="s">
        <v>118</v>
      </c>
      <c r="B7">
        <v>46099</v>
      </c>
      <c r="C7" s="1">
        <v>577604.81873800873</v>
      </c>
    </row>
    <row r="8" spans="1:24" x14ac:dyDescent="0.3">
      <c r="A8" s="3" t="s">
        <v>3</v>
      </c>
      <c r="B8" t="s">
        <v>121</v>
      </c>
    </row>
    <row r="10" spans="1:24" x14ac:dyDescent="0.3">
      <c r="A10" s="3" t="s">
        <v>117</v>
      </c>
      <c r="B10" t="s">
        <v>122</v>
      </c>
      <c r="C10" t="s">
        <v>123</v>
      </c>
      <c r="F10" s="6" t="s">
        <v>125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4" x14ac:dyDescent="0.3">
      <c r="A11" s="4" t="s">
        <v>116</v>
      </c>
      <c r="B11">
        <v>1343</v>
      </c>
      <c r="C11">
        <v>1525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4" x14ac:dyDescent="0.3">
      <c r="A12" s="4" t="s">
        <v>114</v>
      </c>
      <c r="B12">
        <v>1480</v>
      </c>
      <c r="C12">
        <v>1644</v>
      </c>
    </row>
    <row r="13" spans="1:24" x14ac:dyDescent="0.3">
      <c r="A13" s="4" t="s">
        <v>115</v>
      </c>
      <c r="B13">
        <v>2099</v>
      </c>
      <c r="C13">
        <v>1608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x14ac:dyDescent="0.3">
      <c r="A14" s="4" t="s">
        <v>118</v>
      </c>
      <c r="B14">
        <v>4922</v>
      </c>
      <c r="C14">
        <v>4777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x14ac:dyDescent="0.3">
      <c r="H15" s="5"/>
      <c r="I15" s="5"/>
      <c r="J15" s="5"/>
      <c r="K15" s="5"/>
      <c r="L15" s="5"/>
      <c r="M15" s="5"/>
      <c r="N15" s="5"/>
      <c r="O15" s="5" t="s">
        <v>127</v>
      </c>
      <c r="P15" s="5"/>
      <c r="Q15" s="5"/>
      <c r="R15" s="5"/>
      <c r="S15" s="5"/>
      <c r="T15" s="5"/>
      <c r="U15" s="5"/>
      <c r="V15" s="5"/>
      <c r="W15" s="5"/>
      <c r="X15" s="5"/>
    </row>
    <row r="16" spans="1:24" x14ac:dyDescent="0.3">
      <c r="H16" s="5"/>
      <c r="I16" s="5"/>
      <c r="J16" s="5"/>
      <c r="K16" s="5"/>
      <c r="L16" s="5"/>
      <c r="M16" s="5"/>
      <c r="N16" s="5"/>
      <c r="O16" s="5" t="s">
        <v>128</v>
      </c>
      <c r="P16" s="5"/>
      <c r="Q16" s="5"/>
      <c r="R16" s="5"/>
      <c r="S16" s="5"/>
      <c r="T16" s="5"/>
      <c r="U16" s="5"/>
      <c r="V16" s="5"/>
      <c r="W16" s="5"/>
      <c r="X16" s="5"/>
    </row>
    <row r="17" spans="1:24" x14ac:dyDescent="0.3">
      <c r="A17" s="3" t="s">
        <v>117</v>
      </c>
      <c r="B17" t="s">
        <v>120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x14ac:dyDescent="0.3">
      <c r="A18" s="4" t="s">
        <v>13</v>
      </c>
      <c r="B18" s="1">
        <v>161514.48912163064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x14ac:dyDescent="0.3">
      <c r="A19" s="4" t="s">
        <v>20</v>
      </c>
      <c r="B19" s="1">
        <v>126634.39425979403</v>
      </c>
    </row>
    <row r="20" spans="1:24" x14ac:dyDescent="0.3">
      <c r="A20" s="4" t="s">
        <v>11</v>
      </c>
      <c r="B20" s="1">
        <v>116365.80151960929</v>
      </c>
    </row>
    <row r="21" spans="1:24" x14ac:dyDescent="0.3">
      <c r="A21" s="4" t="s">
        <v>15</v>
      </c>
      <c r="B21" s="1">
        <v>173090.13383697465</v>
      </c>
      <c r="F21" s="6" t="s">
        <v>129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4" x14ac:dyDescent="0.3">
      <c r="A22" s="4" t="s">
        <v>118</v>
      </c>
      <c r="B22" s="1">
        <v>577604.81873800862</v>
      </c>
    </row>
  </sheetData>
  <mergeCells count="4">
    <mergeCell ref="F21:W21"/>
    <mergeCell ref="F4:W4"/>
    <mergeCell ref="F10:W11"/>
    <mergeCell ref="J6:U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371EE-1BA9-494B-B00A-53ADE660DF20}">
  <dimension ref="A1:J101"/>
  <sheetViews>
    <sheetView tabSelected="1" zoomScale="90" zoomScaleNormal="90" workbookViewId="0">
      <selection activeCell="L92" sqref="L92"/>
    </sheetView>
  </sheetViews>
  <sheetFormatPr defaultRowHeight="14.4" x14ac:dyDescent="0.3"/>
  <cols>
    <col min="1" max="1" width="14.77734375" bestFit="1" customWidth="1"/>
    <col min="2" max="2" width="7" bestFit="1" customWidth="1"/>
    <col min="3" max="3" width="7.88671875" bestFit="1" customWidth="1"/>
    <col min="4" max="4" width="15.5546875" bestFit="1" customWidth="1"/>
    <col min="5" max="5" width="27.88671875" bestFit="1" customWidth="1"/>
    <col min="6" max="6" width="21" bestFit="1" customWidth="1"/>
    <col min="7" max="7" width="25" bestFit="1" customWidth="1"/>
    <col min="8" max="8" width="13.77734375" bestFit="1" customWidth="1"/>
    <col min="9" max="9" width="12.44140625" customWidth="1"/>
    <col min="10" max="10" width="17.44140625" customWidth="1"/>
  </cols>
  <sheetData>
    <row r="1" spans="1:10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2" t="s">
        <v>114</v>
      </c>
      <c r="B2" s="2" t="s">
        <v>65</v>
      </c>
      <c r="C2" s="2">
        <v>26.70076097246173</v>
      </c>
      <c r="D2" s="2">
        <v>61</v>
      </c>
      <c r="E2" s="2">
        <v>154</v>
      </c>
      <c r="F2" s="2">
        <v>9866.465457979697</v>
      </c>
      <c r="G2" s="2" t="s">
        <v>20</v>
      </c>
      <c r="H2" s="2">
        <v>100</v>
      </c>
      <c r="I2" s="2">
        <v>4</v>
      </c>
      <c r="J2" s="2">
        <v>52</v>
      </c>
    </row>
    <row r="3" spans="1:10" x14ac:dyDescent="0.3">
      <c r="A3" s="2" t="s">
        <v>116</v>
      </c>
      <c r="B3" s="2" t="s">
        <v>52</v>
      </c>
      <c r="C3" s="2">
        <v>52.075930682707799</v>
      </c>
      <c r="D3" s="2">
        <v>75</v>
      </c>
      <c r="E3" s="2">
        <v>705</v>
      </c>
      <c r="F3" s="2">
        <v>9692.3180402184316</v>
      </c>
      <c r="G3" s="2" t="s">
        <v>11</v>
      </c>
      <c r="H3" s="2">
        <v>69</v>
      </c>
      <c r="I3" s="2">
        <v>1</v>
      </c>
      <c r="J3" s="2">
        <v>88</v>
      </c>
    </row>
    <row r="4" spans="1:10" x14ac:dyDescent="0.3">
      <c r="A4" s="2" t="s">
        <v>115</v>
      </c>
      <c r="B4" s="2" t="s">
        <v>45</v>
      </c>
      <c r="C4" s="2">
        <v>50.847393051718697</v>
      </c>
      <c r="D4" s="2">
        <v>28</v>
      </c>
      <c r="E4" s="2">
        <v>168</v>
      </c>
      <c r="F4" s="2">
        <v>9655.1351027193978</v>
      </c>
      <c r="G4" s="2" t="s">
        <v>20</v>
      </c>
      <c r="H4" s="2">
        <v>6</v>
      </c>
      <c r="I4" s="2">
        <v>17</v>
      </c>
      <c r="J4" s="2">
        <v>44</v>
      </c>
    </row>
    <row r="5" spans="1:10" x14ac:dyDescent="0.3">
      <c r="A5" s="2" t="s">
        <v>115</v>
      </c>
      <c r="B5" s="2" t="s">
        <v>104</v>
      </c>
      <c r="C5" s="2">
        <v>13.881913501359142</v>
      </c>
      <c r="D5" s="2">
        <v>56</v>
      </c>
      <c r="E5" s="2">
        <v>320</v>
      </c>
      <c r="F5" s="2">
        <v>9592.6335702803117</v>
      </c>
      <c r="G5" s="2" t="s">
        <v>11</v>
      </c>
      <c r="H5" s="2">
        <v>66</v>
      </c>
      <c r="I5" s="2">
        <v>18</v>
      </c>
      <c r="J5" s="2">
        <v>96</v>
      </c>
    </row>
    <row r="6" spans="1:10" x14ac:dyDescent="0.3">
      <c r="A6" s="2" t="s">
        <v>114</v>
      </c>
      <c r="B6" s="2" t="s">
        <v>14</v>
      </c>
      <c r="C6" s="2">
        <v>11.319683293090566</v>
      </c>
      <c r="D6" s="2">
        <v>34</v>
      </c>
      <c r="E6" s="2">
        <v>8</v>
      </c>
      <c r="F6" s="2">
        <v>9577.7496258687297</v>
      </c>
      <c r="G6" s="2" t="s">
        <v>15</v>
      </c>
      <c r="H6" s="2">
        <v>1</v>
      </c>
      <c r="I6" s="2">
        <v>10</v>
      </c>
      <c r="J6" s="2">
        <v>88</v>
      </c>
    </row>
    <row r="7" spans="1:10" x14ac:dyDescent="0.3">
      <c r="A7" s="2" t="s">
        <v>115</v>
      </c>
      <c r="B7" s="2" t="s">
        <v>46</v>
      </c>
      <c r="C7" s="2">
        <v>79.209936015656723</v>
      </c>
      <c r="D7" s="2">
        <v>43</v>
      </c>
      <c r="E7" s="2">
        <v>781</v>
      </c>
      <c r="F7" s="2">
        <v>9571.5504873278187</v>
      </c>
      <c r="G7" s="2" t="s">
        <v>15</v>
      </c>
      <c r="H7" s="2">
        <v>89</v>
      </c>
      <c r="I7" s="2">
        <v>13</v>
      </c>
      <c r="J7" s="2">
        <v>64</v>
      </c>
    </row>
    <row r="8" spans="1:10" x14ac:dyDescent="0.3">
      <c r="A8" s="2" t="s">
        <v>115</v>
      </c>
      <c r="B8" s="2" t="s">
        <v>81</v>
      </c>
      <c r="C8" s="2">
        <v>87.755432354001073</v>
      </c>
      <c r="D8" s="2">
        <v>16</v>
      </c>
      <c r="E8" s="2">
        <v>513</v>
      </c>
      <c r="F8" s="2">
        <v>9473.7980325083372</v>
      </c>
      <c r="G8" s="2" t="s">
        <v>15</v>
      </c>
      <c r="H8" s="2">
        <v>12</v>
      </c>
      <c r="I8" s="2">
        <v>9</v>
      </c>
      <c r="J8" s="2">
        <v>71</v>
      </c>
    </row>
    <row r="9" spans="1:10" x14ac:dyDescent="0.3">
      <c r="A9" s="2" t="s">
        <v>116</v>
      </c>
      <c r="B9" s="2" t="s">
        <v>102</v>
      </c>
      <c r="C9" s="2">
        <v>75.27040697572501</v>
      </c>
      <c r="D9" s="2">
        <v>58</v>
      </c>
      <c r="E9" s="2">
        <v>737</v>
      </c>
      <c r="F9" s="2">
        <v>9444.7420330629793</v>
      </c>
      <c r="G9" s="2" t="s">
        <v>20</v>
      </c>
      <c r="H9" s="2">
        <v>60</v>
      </c>
      <c r="I9" s="2">
        <v>18</v>
      </c>
      <c r="J9" s="2">
        <v>85</v>
      </c>
    </row>
    <row r="10" spans="1:10" x14ac:dyDescent="0.3">
      <c r="A10" s="2" t="s">
        <v>115</v>
      </c>
      <c r="B10" s="2" t="s">
        <v>66</v>
      </c>
      <c r="C10" s="2">
        <v>98.031829656465078</v>
      </c>
      <c r="D10" s="2">
        <v>1</v>
      </c>
      <c r="E10" s="2">
        <v>820</v>
      </c>
      <c r="F10" s="2">
        <v>9435.7626089121295</v>
      </c>
      <c r="G10" s="2" t="s">
        <v>20</v>
      </c>
      <c r="H10" s="2">
        <v>64</v>
      </c>
      <c r="I10" s="2">
        <v>11</v>
      </c>
      <c r="J10" s="2">
        <v>11</v>
      </c>
    </row>
    <row r="11" spans="1:10" x14ac:dyDescent="0.3">
      <c r="A11" s="2" t="s">
        <v>114</v>
      </c>
      <c r="B11" s="2" t="s">
        <v>32</v>
      </c>
      <c r="C11" s="2">
        <v>36.443627770460935</v>
      </c>
      <c r="D11" s="2">
        <v>23</v>
      </c>
      <c r="E11" s="2">
        <v>620</v>
      </c>
      <c r="F11" s="2">
        <v>9364.6735050761727</v>
      </c>
      <c r="G11" s="2" t="s">
        <v>15</v>
      </c>
      <c r="H11" s="2">
        <v>10</v>
      </c>
      <c r="I11" s="2">
        <v>10</v>
      </c>
      <c r="J11" s="2">
        <v>46</v>
      </c>
    </row>
    <row r="12" spans="1:10" x14ac:dyDescent="0.3">
      <c r="A12" s="2" t="s">
        <v>114</v>
      </c>
      <c r="B12" s="2" t="s">
        <v>113</v>
      </c>
      <c r="C12" s="2">
        <v>68.517832699276639</v>
      </c>
      <c r="D12" s="2">
        <v>17</v>
      </c>
      <c r="E12" s="2">
        <v>627</v>
      </c>
      <c r="F12" s="2">
        <v>9185.1858291817043</v>
      </c>
      <c r="G12" s="2" t="s">
        <v>15</v>
      </c>
      <c r="H12" s="2">
        <v>55</v>
      </c>
      <c r="I12" s="2">
        <v>8</v>
      </c>
      <c r="J12" s="2">
        <v>59</v>
      </c>
    </row>
    <row r="13" spans="1:10" x14ac:dyDescent="0.3">
      <c r="A13" s="2" t="s">
        <v>115</v>
      </c>
      <c r="B13" s="2" t="s">
        <v>48</v>
      </c>
      <c r="C13" s="2">
        <v>37.467592329842461</v>
      </c>
      <c r="D13" s="2">
        <v>96</v>
      </c>
      <c r="E13" s="2">
        <v>602</v>
      </c>
      <c r="F13" s="2">
        <v>9061.7108955077238</v>
      </c>
      <c r="G13" s="2" t="s">
        <v>15</v>
      </c>
      <c r="H13" s="2">
        <v>1</v>
      </c>
      <c r="I13" s="2">
        <v>26</v>
      </c>
      <c r="J13" s="2">
        <v>21</v>
      </c>
    </row>
    <row r="14" spans="1:10" x14ac:dyDescent="0.3">
      <c r="A14" s="2" t="s">
        <v>114</v>
      </c>
      <c r="B14" s="2" t="s">
        <v>38</v>
      </c>
      <c r="C14" s="2">
        <v>4.1563083593111081</v>
      </c>
      <c r="D14" s="2">
        <v>32</v>
      </c>
      <c r="E14" s="2">
        <v>209</v>
      </c>
      <c r="F14" s="2">
        <v>9049.0778609398967</v>
      </c>
      <c r="G14" s="2" t="s">
        <v>20</v>
      </c>
      <c r="H14" s="2">
        <v>4</v>
      </c>
      <c r="I14" s="2">
        <v>26</v>
      </c>
      <c r="J14" s="2">
        <v>2</v>
      </c>
    </row>
    <row r="15" spans="1:10" x14ac:dyDescent="0.3">
      <c r="A15" s="2" t="s">
        <v>115</v>
      </c>
      <c r="B15" s="2" t="s">
        <v>74</v>
      </c>
      <c r="C15" s="2">
        <v>17.028027920188702</v>
      </c>
      <c r="D15" s="2">
        <v>16</v>
      </c>
      <c r="E15" s="2">
        <v>380</v>
      </c>
      <c r="F15" s="2">
        <v>8864.0843495864356</v>
      </c>
      <c r="G15" s="2" t="s">
        <v>13</v>
      </c>
      <c r="H15" s="2">
        <v>41</v>
      </c>
      <c r="I15" s="2">
        <v>27</v>
      </c>
      <c r="J15" s="2">
        <v>72</v>
      </c>
    </row>
    <row r="16" spans="1:10" x14ac:dyDescent="0.3">
      <c r="A16" s="2" t="s">
        <v>116</v>
      </c>
      <c r="B16" s="2" t="s">
        <v>37</v>
      </c>
      <c r="C16" s="2">
        <v>4.3243411858641636</v>
      </c>
      <c r="D16" s="2">
        <v>30</v>
      </c>
      <c r="E16" s="2">
        <v>391</v>
      </c>
      <c r="F16" s="2">
        <v>8858.367571011484</v>
      </c>
      <c r="G16" s="2" t="s">
        <v>15</v>
      </c>
      <c r="H16" s="2">
        <v>84</v>
      </c>
      <c r="I16" s="2">
        <v>5</v>
      </c>
      <c r="J16" s="2">
        <v>29</v>
      </c>
    </row>
    <row r="17" spans="1:10" x14ac:dyDescent="0.3">
      <c r="A17" s="2" t="s">
        <v>116</v>
      </c>
      <c r="B17" s="2" t="s">
        <v>99</v>
      </c>
      <c r="C17" s="2">
        <v>76.962994415193876</v>
      </c>
      <c r="D17" s="2">
        <v>83</v>
      </c>
      <c r="E17" s="2">
        <v>25</v>
      </c>
      <c r="F17" s="2">
        <v>8684.6130592538575</v>
      </c>
      <c r="G17" s="2" t="s">
        <v>13</v>
      </c>
      <c r="H17" s="2">
        <v>15</v>
      </c>
      <c r="I17" s="2">
        <v>18</v>
      </c>
      <c r="J17" s="2">
        <v>66</v>
      </c>
    </row>
    <row r="18" spans="1:10" x14ac:dyDescent="0.3">
      <c r="A18" s="2" t="s">
        <v>114</v>
      </c>
      <c r="B18" s="2" t="s">
        <v>10</v>
      </c>
      <c r="C18" s="2">
        <v>69.808005542115765</v>
      </c>
      <c r="D18" s="2">
        <v>55</v>
      </c>
      <c r="E18" s="2">
        <v>802</v>
      </c>
      <c r="F18" s="2">
        <v>8661.9967923923832</v>
      </c>
      <c r="G18" s="2" t="s">
        <v>11</v>
      </c>
      <c r="H18" s="2">
        <v>58</v>
      </c>
      <c r="I18" s="2">
        <v>7</v>
      </c>
      <c r="J18" s="2">
        <v>96</v>
      </c>
    </row>
    <row r="19" spans="1:10" x14ac:dyDescent="0.3">
      <c r="A19" s="2" t="s">
        <v>115</v>
      </c>
      <c r="B19" s="2" t="s">
        <v>28</v>
      </c>
      <c r="C19" s="2">
        <v>99.171328638624189</v>
      </c>
      <c r="D19" s="2">
        <v>26</v>
      </c>
      <c r="E19" s="2">
        <v>562</v>
      </c>
      <c r="F19" s="2">
        <v>8653.5709264698016</v>
      </c>
      <c r="G19" s="2" t="s">
        <v>11</v>
      </c>
      <c r="H19" s="2">
        <v>54</v>
      </c>
      <c r="I19" s="2">
        <v>29</v>
      </c>
      <c r="J19" s="2">
        <v>78</v>
      </c>
    </row>
    <row r="20" spans="1:10" x14ac:dyDescent="0.3">
      <c r="A20" s="2" t="s">
        <v>115</v>
      </c>
      <c r="B20" s="2" t="s">
        <v>94</v>
      </c>
      <c r="C20" s="2">
        <v>91.128318350444331</v>
      </c>
      <c r="D20" s="2">
        <v>75</v>
      </c>
      <c r="E20" s="2">
        <v>872</v>
      </c>
      <c r="F20" s="2">
        <v>8651.6726829820655</v>
      </c>
      <c r="G20" s="2" t="s">
        <v>15</v>
      </c>
      <c r="H20" s="2">
        <v>39</v>
      </c>
      <c r="I20" s="2">
        <v>14</v>
      </c>
      <c r="J20" s="2">
        <v>41</v>
      </c>
    </row>
    <row r="21" spans="1:10" x14ac:dyDescent="0.3">
      <c r="A21" s="2" t="s">
        <v>115</v>
      </c>
      <c r="B21" s="2" t="s">
        <v>112</v>
      </c>
      <c r="C21" s="2">
        <v>19.754604866878601</v>
      </c>
      <c r="D21" s="2">
        <v>43</v>
      </c>
      <c r="E21" s="2">
        <v>913</v>
      </c>
      <c r="F21" s="2">
        <v>8525.9525596835265</v>
      </c>
      <c r="G21" s="2" t="s">
        <v>13</v>
      </c>
      <c r="H21" s="2">
        <v>53</v>
      </c>
      <c r="I21" s="2">
        <v>1</v>
      </c>
      <c r="J21" s="2">
        <v>27</v>
      </c>
    </row>
    <row r="22" spans="1:10" x14ac:dyDescent="0.3">
      <c r="A22" s="2" t="s">
        <v>116</v>
      </c>
      <c r="B22" s="2" t="s">
        <v>21</v>
      </c>
      <c r="C22" s="2">
        <v>42.958384382460068</v>
      </c>
      <c r="D22" s="2">
        <v>59</v>
      </c>
      <c r="E22" s="2">
        <v>426</v>
      </c>
      <c r="F22" s="2">
        <v>8496.1038130898378</v>
      </c>
      <c r="G22" s="2" t="s">
        <v>13</v>
      </c>
      <c r="H22" s="2">
        <v>93</v>
      </c>
      <c r="I22" s="2">
        <v>17</v>
      </c>
      <c r="J22" s="2">
        <v>11</v>
      </c>
    </row>
    <row r="23" spans="1:10" x14ac:dyDescent="0.3">
      <c r="A23" s="2" t="s">
        <v>115</v>
      </c>
      <c r="B23" s="2" t="s">
        <v>78</v>
      </c>
      <c r="C23" s="2">
        <v>89.634095608135326</v>
      </c>
      <c r="D23" s="2">
        <v>11</v>
      </c>
      <c r="E23" s="2">
        <v>134</v>
      </c>
      <c r="F23" s="2">
        <v>8458.7308783671779</v>
      </c>
      <c r="G23" s="2" t="s">
        <v>13</v>
      </c>
      <c r="H23" s="2">
        <v>73</v>
      </c>
      <c r="I23" s="2">
        <v>27</v>
      </c>
      <c r="J23" s="2">
        <v>75</v>
      </c>
    </row>
    <row r="24" spans="1:10" x14ac:dyDescent="0.3">
      <c r="A24" s="2" t="s">
        <v>115</v>
      </c>
      <c r="B24" s="2" t="s">
        <v>80</v>
      </c>
      <c r="C24" s="2">
        <v>26.034869773962086</v>
      </c>
      <c r="D24" s="2">
        <v>52</v>
      </c>
      <c r="E24" s="2">
        <v>704</v>
      </c>
      <c r="F24" s="2">
        <v>8367.721618020154</v>
      </c>
      <c r="G24" s="2" t="s">
        <v>13</v>
      </c>
      <c r="H24" s="2">
        <v>13</v>
      </c>
      <c r="I24" s="2">
        <v>17</v>
      </c>
      <c r="J24" s="2">
        <v>19</v>
      </c>
    </row>
    <row r="25" spans="1:10" x14ac:dyDescent="0.3">
      <c r="A25" s="2" t="s">
        <v>115</v>
      </c>
      <c r="B25" s="2" t="s">
        <v>79</v>
      </c>
      <c r="C25" s="2">
        <v>33.697717206643127</v>
      </c>
      <c r="D25" s="2">
        <v>72</v>
      </c>
      <c r="E25" s="2">
        <v>457</v>
      </c>
      <c r="F25" s="2">
        <v>8354.5796864819949</v>
      </c>
      <c r="G25" s="2" t="s">
        <v>20</v>
      </c>
      <c r="H25" s="2">
        <v>57</v>
      </c>
      <c r="I25" s="2">
        <v>24</v>
      </c>
      <c r="J25" s="2">
        <v>54</v>
      </c>
    </row>
    <row r="26" spans="1:10" x14ac:dyDescent="0.3">
      <c r="A26" s="2" t="s">
        <v>116</v>
      </c>
      <c r="B26" s="2" t="s">
        <v>43</v>
      </c>
      <c r="C26" s="2">
        <v>63.447559185207332</v>
      </c>
      <c r="D26" s="2">
        <v>3</v>
      </c>
      <c r="E26" s="2">
        <v>253</v>
      </c>
      <c r="F26" s="2">
        <v>8318.9031946171781</v>
      </c>
      <c r="G26" s="2" t="s">
        <v>13</v>
      </c>
      <c r="H26" s="2">
        <v>45</v>
      </c>
      <c r="I26" s="2">
        <v>5</v>
      </c>
      <c r="J26" s="2">
        <v>67</v>
      </c>
    </row>
    <row r="27" spans="1:10" x14ac:dyDescent="0.3">
      <c r="A27" s="2" t="s">
        <v>115</v>
      </c>
      <c r="B27" s="2" t="s">
        <v>67</v>
      </c>
      <c r="C27" s="2">
        <v>30.341470711214214</v>
      </c>
      <c r="D27" s="2">
        <v>93</v>
      </c>
      <c r="E27" s="2">
        <v>242</v>
      </c>
      <c r="F27" s="2">
        <v>8232.3348294258212</v>
      </c>
      <c r="G27" s="2" t="s">
        <v>20</v>
      </c>
      <c r="H27" s="2">
        <v>96</v>
      </c>
      <c r="I27" s="2">
        <v>25</v>
      </c>
      <c r="J27" s="2">
        <v>54</v>
      </c>
    </row>
    <row r="28" spans="1:10" x14ac:dyDescent="0.3">
      <c r="A28" s="2" t="s">
        <v>116</v>
      </c>
      <c r="B28" s="2" t="s">
        <v>85</v>
      </c>
      <c r="C28" s="2">
        <v>6.3815331627479663</v>
      </c>
      <c r="D28" s="2">
        <v>14</v>
      </c>
      <c r="E28" s="2">
        <v>637</v>
      </c>
      <c r="F28" s="2">
        <v>8180.3370854254426</v>
      </c>
      <c r="G28" s="2" t="s">
        <v>13</v>
      </c>
      <c r="H28" s="2">
        <v>76</v>
      </c>
      <c r="I28" s="2">
        <v>2</v>
      </c>
      <c r="J28" s="2">
        <v>26</v>
      </c>
    </row>
    <row r="29" spans="1:10" x14ac:dyDescent="0.3">
      <c r="A29" s="2" t="s">
        <v>115</v>
      </c>
      <c r="B29" s="2" t="s">
        <v>34</v>
      </c>
      <c r="C29" s="2">
        <v>96.341072439963384</v>
      </c>
      <c r="D29" s="2">
        <v>22</v>
      </c>
      <c r="E29" s="2">
        <v>320</v>
      </c>
      <c r="F29" s="2">
        <v>8128.0276968511916</v>
      </c>
      <c r="G29" s="2" t="s">
        <v>15</v>
      </c>
      <c r="H29" s="2">
        <v>27</v>
      </c>
      <c r="I29" s="2">
        <v>12</v>
      </c>
      <c r="J29" s="2">
        <v>68</v>
      </c>
    </row>
    <row r="30" spans="1:10" x14ac:dyDescent="0.3">
      <c r="A30" s="2" t="s">
        <v>116</v>
      </c>
      <c r="B30" s="2" t="s">
        <v>63</v>
      </c>
      <c r="C30" s="2">
        <v>78.897913205640037</v>
      </c>
      <c r="D30" s="2">
        <v>19</v>
      </c>
      <c r="E30" s="2">
        <v>99</v>
      </c>
      <c r="F30" s="2">
        <v>8001.6132065190022</v>
      </c>
      <c r="G30" s="2" t="s">
        <v>15</v>
      </c>
      <c r="H30" s="2">
        <v>97</v>
      </c>
      <c r="I30" s="2">
        <v>24</v>
      </c>
      <c r="J30" s="2">
        <v>9</v>
      </c>
    </row>
    <row r="31" spans="1:10" x14ac:dyDescent="0.3">
      <c r="A31" s="2" t="s">
        <v>116</v>
      </c>
      <c r="B31" s="2" t="s">
        <v>87</v>
      </c>
      <c r="C31" s="2">
        <v>83.851017681304597</v>
      </c>
      <c r="D31" s="2">
        <v>41</v>
      </c>
      <c r="E31" s="2">
        <v>375</v>
      </c>
      <c r="F31" s="2">
        <v>7910.8869161406856</v>
      </c>
      <c r="G31" s="2" t="s">
        <v>20</v>
      </c>
      <c r="H31" s="2">
        <v>17</v>
      </c>
      <c r="I31" s="2">
        <v>25</v>
      </c>
      <c r="J31" s="2">
        <v>66</v>
      </c>
    </row>
    <row r="32" spans="1:10" x14ac:dyDescent="0.3">
      <c r="A32" s="2" t="s">
        <v>114</v>
      </c>
      <c r="B32" s="2" t="s">
        <v>93</v>
      </c>
      <c r="C32" s="2">
        <v>57.057031221103223</v>
      </c>
      <c r="D32" s="2">
        <v>56</v>
      </c>
      <c r="E32" s="2">
        <v>198</v>
      </c>
      <c r="F32" s="2">
        <v>7888.7232684270812</v>
      </c>
      <c r="G32" s="2" t="s">
        <v>11</v>
      </c>
      <c r="H32" s="2">
        <v>31</v>
      </c>
      <c r="I32" s="2">
        <v>25</v>
      </c>
      <c r="J32" s="2">
        <v>20</v>
      </c>
    </row>
    <row r="33" spans="1:10" x14ac:dyDescent="0.3">
      <c r="A33" s="2" t="s">
        <v>116</v>
      </c>
      <c r="B33" s="2" t="s">
        <v>108</v>
      </c>
      <c r="C33" s="2">
        <v>3.0376887246314141</v>
      </c>
      <c r="D33" s="2">
        <v>97</v>
      </c>
      <c r="E33" s="2">
        <v>987</v>
      </c>
      <c r="F33" s="2">
        <v>7888.3565466618729</v>
      </c>
      <c r="G33" s="2" t="s">
        <v>15</v>
      </c>
      <c r="H33" s="2">
        <v>77</v>
      </c>
      <c r="I33" s="2">
        <v>26</v>
      </c>
      <c r="J33" s="2">
        <v>72</v>
      </c>
    </row>
    <row r="34" spans="1:10" x14ac:dyDescent="0.3">
      <c r="A34" s="2" t="s">
        <v>115</v>
      </c>
      <c r="B34" s="2" t="s">
        <v>19</v>
      </c>
      <c r="C34" s="2">
        <v>4.0783328631079447</v>
      </c>
      <c r="D34" s="2">
        <v>48</v>
      </c>
      <c r="E34" s="2">
        <v>65</v>
      </c>
      <c r="F34" s="2">
        <v>7823.4765595317367</v>
      </c>
      <c r="G34" s="2" t="s">
        <v>20</v>
      </c>
      <c r="H34" s="2">
        <v>11</v>
      </c>
      <c r="I34" s="2">
        <v>15</v>
      </c>
      <c r="J34" s="2">
        <v>58</v>
      </c>
    </row>
    <row r="35" spans="1:10" x14ac:dyDescent="0.3">
      <c r="A35" s="2" t="s">
        <v>115</v>
      </c>
      <c r="B35" s="2" t="s">
        <v>16</v>
      </c>
      <c r="C35" s="2">
        <v>61.163343016437736</v>
      </c>
      <c r="D35" s="2">
        <v>68</v>
      </c>
      <c r="E35" s="2">
        <v>83</v>
      </c>
      <c r="F35" s="2">
        <v>7766.8364256852328</v>
      </c>
      <c r="G35" s="2" t="s">
        <v>11</v>
      </c>
      <c r="H35" s="2">
        <v>23</v>
      </c>
      <c r="I35" s="2">
        <v>13</v>
      </c>
      <c r="J35" s="2">
        <v>59</v>
      </c>
    </row>
    <row r="36" spans="1:10" x14ac:dyDescent="0.3">
      <c r="A36" s="2" t="s">
        <v>116</v>
      </c>
      <c r="B36" s="2" t="s">
        <v>110</v>
      </c>
      <c r="C36" s="2">
        <v>24.42313142037338</v>
      </c>
      <c r="D36" s="2">
        <v>29</v>
      </c>
      <c r="E36" s="2">
        <v>324</v>
      </c>
      <c r="F36" s="2">
        <v>7698.4247656321168</v>
      </c>
      <c r="G36" s="2" t="s">
        <v>11</v>
      </c>
      <c r="H36" s="2">
        <v>67</v>
      </c>
      <c r="I36" s="2">
        <v>2</v>
      </c>
      <c r="J36" s="2">
        <v>32</v>
      </c>
    </row>
    <row r="37" spans="1:10" x14ac:dyDescent="0.3">
      <c r="A37" s="2" t="s">
        <v>115</v>
      </c>
      <c r="B37" s="2" t="s">
        <v>50</v>
      </c>
      <c r="C37" s="2">
        <v>9.8130025787540518</v>
      </c>
      <c r="D37" s="2">
        <v>34</v>
      </c>
      <c r="E37" s="2">
        <v>963</v>
      </c>
      <c r="F37" s="2">
        <v>7573.4024578487333</v>
      </c>
      <c r="G37" s="2" t="s">
        <v>13</v>
      </c>
      <c r="H37" s="2">
        <v>18</v>
      </c>
      <c r="I37" s="2">
        <v>23</v>
      </c>
      <c r="J37" s="2">
        <v>28</v>
      </c>
    </row>
    <row r="38" spans="1:10" x14ac:dyDescent="0.3">
      <c r="A38" s="2" t="s">
        <v>116</v>
      </c>
      <c r="B38" s="2" t="s">
        <v>22</v>
      </c>
      <c r="C38" s="2">
        <v>68.717596748527328</v>
      </c>
      <c r="D38" s="2">
        <v>78</v>
      </c>
      <c r="E38" s="2">
        <v>150</v>
      </c>
      <c r="F38" s="2">
        <v>7517.363210631127</v>
      </c>
      <c r="G38" s="2" t="s">
        <v>13</v>
      </c>
      <c r="H38" s="2">
        <v>5</v>
      </c>
      <c r="I38" s="2">
        <v>10</v>
      </c>
      <c r="J38" s="2">
        <v>15</v>
      </c>
    </row>
    <row r="39" spans="1:10" x14ac:dyDescent="0.3">
      <c r="A39" s="2" t="s">
        <v>115</v>
      </c>
      <c r="B39" s="2" t="s">
        <v>12</v>
      </c>
      <c r="C39" s="2">
        <v>14.843523275084339</v>
      </c>
      <c r="D39" s="2">
        <v>95</v>
      </c>
      <c r="E39" s="2">
        <v>736</v>
      </c>
      <c r="F39" s="2">
        <v>7460.9000654458487</v>
      </c>
      <c r="G39" s="2" t="s">
        <v>13</v>
      </c>
      <c r="H39" s="2">
        <v>53</v>
      </c>
      <c r="I39" s="2">
        <v>30</v>
      </c>
      <c r="J39" s="2">
        <v>37</v>
      </c>
    </row>
    <row r="40" spans="1:10" x14ac:dyDescent="0.3">
      <c r="A40" s="2" t="s">
        <v>114</v>
      </c>
      <c r="B40" s="2" t="s">
        <v>62</v>
      </c>
      <c r="C40" s="2">
        <v>76.035544426891718</v>
      </c>
      <c r="D40" s="2">
        <v>28</v>
      </c>
      <c r="E40" s="2">
        <v>29</v>
      </c>
      <c r="F40" s="2">
        <v>7397.0710045871801</v>
      </c>
      <c r="G40" s="2" t="s">
        <v>11</v>
      </c>
      <c r="H40" s="2">
        <v>30</v>
      </c>
      <c r="I40" s="2">
        <v>16</v>
      </c>
      <c r="J40" s="2">
        <v>9</v>
      </c>
    </row>
    <row r="41" spans="1:10" x14ac:dyDescent="0.3">
      <c r="A41" s="2" t="s">
        <v>114</v>
      </c>
      <c r="B41" s="2" t="s">
        <v>109</v>
      </c>
      <c r="C41" s="2">
        <v>77.903927219447752</v>
      </c>
      <c r="D41" s="2">
        <v>65</v>
      </c>
      <c r="E41" s="2">
        <v>672</v>
      </c>
      <c r="F41" s="2">
        <v>7386.3639440486641</v>
      </c>
      <c r="G41" s="2" t="s">
        <v>15</v>
      </c>
      <c r="H41" s="2">
        <v>15</v>
      </c>
      <c r="I41" s="2">
        <v>14</v>
      </c>
      <c r="J41" s="2">
        <v>26</v>
      </c>
    </row>
    <row r="42" spans="1:10" x14ac:dyDescent="0.3">
      <c r="A42" s="2" t="s">
        <v>116</v>
      </c>
      <c r="B42" s="2" t="s">
        <v>58</v>
      </c>
      <c r="C42" s="2">
        <v>51.35579091311039</v>
      </c>
      <c r="D42" s="2">
        <v>34</v>
      </c>
      <c r="E42" s="2">
        <v>919</v>
      </c>
      <c r="F42" s="2">
        <v>7152.2860494355145</v>
      </c>
      <c r="G42" s="2" t="s">
        <v>13</v>
      </c>
      <c r="H42" s="2">
        <v>13</v>
      </c>
      <c r="I42" s="2">
        <v>19</v>
      </c>
      <c r="J42" s="2">
        <v>72</v>
      </c>
    </row>
    <row r="43" spans="1:10" x14ac:dyDescent="0.3">
      <c r="A43" s="2" t="s">
        <v>115</v>
      </c>
      <c r="B43" s="2" t="s">
        <v>61</v>
      </c>
      <c r="C43" s="2">
        <v>95.712135880936088</v>
      </c>
      <c r="D43" s="2">
        <v>93</v>
      </c>
      <c r="E43" s="2">
        <v>910</v>
      </c>
      <c r="F43" s="2">
        <v>7089.4742499341864</v>
      </c>
      <c r="G43" s="2" t="s">
        <v>20</v>
      </c>
      <c r="H43" s="2">
        <v>4</v>
      </c>
      <c r="I43" s="2">
        <v>15</v>
      </c>
      <c r="J43" s="2">
        <v>51</v>
      </c>
    </row>
    <row r="44" spans="1:10" x14ac:dyDescent="0.3">
      <c r="A44" s="2" t="s">
        <v>116</v>
      </c>
      <c r="B44" s="2" t="s">
        <v>35</v>
      </c>
      <c r="C44" s="2">
        <v>84.893868984950828</v>
      </c>
      <c r="D44" s="2">
        <v>60</v>
      </c>
      <c r="E44" s="2">
        <v>601</v>
      </c>
      <c r="F44" s="2">
        <v>7087.0526963574366</v>
      </c>
      <c r="G44" s="2" t="s">
        <v>15</v>
      </c>
      <c r="H44" s="2">
        <v>69</v>
      </c>
      <c r="I44" s="2">
        <v>25</v>
      </c>
      <c r="J44" s="2">
        <v>7</v>
      </c>
    </row>
    <row r="45" spans="1:10" x14ac:dyDescent="0.3">
      <c r="A45" s="2" t="s">
        <v>114</v>
      </c>
      <c r="B45" s="2" t="s">
        <v>84</v>
      </c>
      <c r="C45" s="2">
        <v>47.914541824058766</v>
      </c>
      <c r="D45" s="2">
        <v>90</v>
      </c>
      <c r="E45" s="2">
        <v>32</v>
      </c>
      <c r="F45" s="2">
        <v>7014.8879872033885</v>
      </c>
      <c r="G45" s="2" t="s">
        <v>13</v>
      </c>
      <c r="H45" s="2">
        <v>10</v>
      </c>
      <c r="I45" s="2">
        <v>12</v>
      </c>
      <c r="J45" s="2">
        <v>22</v>
      </c>
    </row>
    <row r="46" spans="1:10" x14ac:dyDescent="0.3">
      <c r="A46" s="2" t="s">
        <v>114</v>
      </c>
      <c r="B46" s="2" t="s">
        <v>75</v>
      </c>
      <c r="C46" s="2">
        <v>52.028749903294923</v>
      </c>
      <c r="D46" s="2">
        <v>23</v>
      </c>
      <c r="E46" s="2">
        <v>117</v>
      </c>
      <c r="F46" s="2">
        <v>6885.5893508962527</v>
      </c>
      <c r="G46" s="2" t="s">
        <v>15</v>
      </c>
      <c r="H46" s="2">
        <v>32</v>
      </c>
      <c r="I46" s="2">
        <v>23</v>
      </c>
      <c r="J46" s="2">
        <v>36</v>
      </c>
    </row>
    <row r="47" spans="1:10" x14ac:dyDescent="0.3">
      <c r="A47" s="2" t="s">
        <v>116</v>
      </c>
      <c r="B47" s="2" t="s">
        <v>49</v>
      </c>
      <c r="C47" s="2">
        <v>84.957786816350435</v>
      </c>
      <c r="D47" s="2">
        <v>11</v>
      </c>
      <c r="E47" s="2">
        <v>449</v>
      </c>
      <c r="F47" s="2">
        <v>6541.3293448024651</v>
      </c>
      <c r="G47" s="2" t="s">
        <v>13</v>
      </c>
      <c r="H47" s="2">
        <v>42</v>
      </c>
      <c r="I47" s="2">
        <v>27</v>
      </c>
      <c r="J47" s="2">
        <v>85</v>
      </c>
    </row>
    <row r="48" spans="1:10" x14ac:dyDescent="0.3">
      <c r="A48" s="2" t="s">
        <v>115</v>
      </c>
      <c r="B48" s="2" t="s">
        <v>30</v>
      </c>
      <c r="C48" s="2">
        <v>7.5471721097912718</v>
      </c>
      <c r="D48" s="2">
        <v>74</v>
      </c>
      <c r="E48" s="2">
        <v>280</v>
      </c>
      <c r="F48" s="2">
        <v>6453.7979681762854</v>
      </c>
      <c r="G48" s="2" t="s">
        <v>13</v>
      </c>
      <c r="H48" s="2">
        <v>2</v>
      </c>
      <c r="I48" s="2">
        <v>5</v>
      </c>
      <c r="J48" s="2">
        <v>78</v>
      </c>
    </row>
    <row r="49" spans="1:10" x14ac:dyDescent="0.3">
      <c r="A49" s="2" t="s">
        <v>116</v>
      </c>
      <c r="B49" s="2" t="s">
        <v>42</v>
      </c>
      <c r="C49" s="2">
        <v>2.3972747055971411</v>
      </c>
      <c r="D49" s="2">
        <v>12</v>
      </c>
      <c r="E49" s="2">
        <v>394</v>
      </c>
      <c r="F49" s="2">
        <v>6117.3246150839923</v>
      </c>
      <c r="G49" s="2" t="s">
        <v>13</v>
      </c>
      <c r="H49" s="2">
        <v>48</v>
      </c>
      <c r="I49" s="2">
        <v>15</v>
      </c>
      <c r="J49" s="2">
        <v>24</v>
      </c>
    </row>
    <row r="50" spans="1:10" x14ac:dyDescent="0.3">
      <c r="A50" s="2" t="s">
        <v>115</v>
      </c>
      <c r="B50" s="2" t="s">
        <v>25</v>
      </c>
      <c r="C50" s="2">
        <v>90.635459982288666</v>
      </c>
      <c r="D50" s="2">
        <v>95</v>
      </c>
      <c r="E50" s="2">
        <v>960</v>
      </c>
      <c r="F50" s="2">
        <v>6099.944115581452</v>
      </c>
      <c r="G50" s="2" t="s">
        <v>13</v>
      </c>
      <c r="H50" s="2">
        <v>46</v>
      </c>
      <c r="I50" s="2">
        <v>23</v>
      </c>
      <c r="J50" s="2">
        <v>60</v>
      </c>
    </row>
    <row r="51" spans="1:10" x14ac:dyDescent="0.3">
      <c r="A51" s="2" t="s">
        <v>114</v>
      </c>
      <c r="B51" s="2" t="s">
        <v>68</v>
      </c>
      <c r="C51" s="2">
        <v>31.146243160240854</v>
      </c>
      <c r="D51" s="2">
        <v>11</v>
      </c>
      <c r="E51" s="2">
        <v>622</v>
      </c>
      <c r="F51" s="2">
        <v>6088.0214799408586</v>
      </c>
      <c r="G51" s="2" t="s">
        <v>11</v>
      </c>
      <c r="H51" s="2">
        <v>33</v>
      </c>
      <c r="I51" s="2">
        <v>22</v>
      </c>
      <c r="J51" s="2">
        <v>61</v>
      </c>
    </row>
    <row r="52" spans="1:10" x14ac:dyDescent="0.3">
      <c r="A52" s="2" t="s">
        <v>116</v>
      </c>
      <c r="B52" s="2" t="s">
        <v>103</v>
      </c>
      <c r="C52" s="2">
        <v>97.760085581938668</v>
      </c>
      <c r="D52" s="2">
        <v>10</v>
      </c>
      <c r="E52" s="2">
        <v>134</v>
      </c>
      <c r="F52" s="2">
        <v>5924.682566853231</v>
      </c>
      <c r="G52" s="2" t="s">
        <v>15</v>
      </c>
      <c r="H52" s="2">
        <v>90</v>
      </c>
      <c r="I52" s="2">
        <v>1</v>
      </c>
      <c r="J52" s="2">
        <v>27</v>
      </c>
    </row>
    <row r="53" spans="1:10" x14ac:dyDescent="0.3">
      <c r="A53" s="2" t="s">
        <v>116</v>
      </c>
      <c r="B53" s="2" t="s">
        <v>64</v>
      </c>
      <c r="C53" s="2">
        <v>14.203484264803022</v>
      </c>
      <c r="D53" s="2">
        <v>91</v>
      </c>
      <c r="E53" s="2">
        <v>633</v>
      </c>
      <c r="F53" s="2">
        <v>5910.8853896688988</v>
      </c>
      <c r="G53" s="2" t="s">
        <v>13</v>
      </c>
      <c r="H53" s="2">
        <v>31</v>
      </c>
      <c r="I53" s="2">
        <v>23</v>
      </c>
      <c r="J53" s="2">
        <v>82</v>
      </c>
    </row>
    <row r="54" spans="1:10" x14ac:dyDescent="0.3">
      <c r="A54" s="2" t="s">
        <v>114</v>
      </c>
      <c r="B54" s="2" t="s">
        <v>57</v>
      </c>
      <c r="C54" s="2">
        <v>11.743271776309239</v>
      </c>
      <c r="D54" s="2">
        <v>6</v>
      </c>
      <c r="E54" s="2">
        <v>598</v>
      </c>
      <c r="F54" s="2">
        <v>5737.425599119023</v>
      </c>
      <c r="G54" s="2" t="s">
        <v>15</v>
      </c>
      <c r="H54" s="2">
        <v>36</v>
      </c>
      <c r="I54" s="2">
        <v>29</v>
      </c>
      <c r="J54" s="2">
        <v>85</v>
      </c>
    </row>
    <row r="55" spans="1:10" x14ac:dyDescent="0.3">
      <c r="A55" s="2" t="s">
        <v>115</v>
      </c>
      <c r="B55" s="2" t="s">
        <v>54</v>
      </c>
      <c r="C55" s="2">
        <v>80.541424170940331</v>
      </c>
      <c r="D55" s="2">
        <v>97</v>
      </c>
      <c r="E55" s="2">
        <v>933</v>
      </c>
      <c r="F55" s="2">
        <v>5724.9593504562654</v>
      </c>
      <c r="G55" s="2" t="s">
        <v>13</v>
      </c>
      <c r="H55" s="2">
        <v>90</v>
      </c>
      <c r="I55" s="2">
        <v>20</v>
      </c>
      <c r="J55" s="2">
        <v>39</v>
      </c>
    </row>
    <row r="56" spans="1:10" x14ac:dyDescent="0.3">
      <c r="A56" s="2" t="s">
        <v>114</v>
      </c>
      <c r="B56" s="2" t="s">
        <v>88</v>
      </c>
      <c r="C56" s="2">
        <v>3.1700114135661548</v>
      </c>
      <c r="D56" s="2">
        <v>64</v>
      </c>
      <c r="E56" s="2">
        <v>904</v>
      </c>
      <c r="F56" s="2">
        <v>5709.9452959692871</v>
      </c>
      <c r="G56" s="2" t="s">
        <v>13</v>
      </c>
      <c r="H56" s="2">
        <v>41</v>
      </c>
      <c r="I56" s="2">
        <v>6</v>
      </c>
      <c r="J56" s="2">
        <v>1</v>
      </c>
    </row>
    <row r="57" spans="1:10" x14ac:dyDescent="0.3">
      <c r="A57" s="2" t="s">
        <v>115</v>
      </c>
      <c r="B57" s="2" t="s">
        <v>55</v>
      </c>
      <c r="C57" s="2">
        <v>99.113291615317166</v>
      </c>
      <c r="D57" s="2">
        <v>35</v>
      </c>
      <c r="E57" s="2">
        <v>556</v>
      </c>
      <c r="F57" s="2">
        <v>5521.2052590109715</v>
      </c>
      <c r="G57" s="2" t="s">
        <v>13</v>
      </c>
      <c r="H57" s="2">
        <v>64</v>
      </c>
      <c r="I57" s="2">
        <v>19</v>
      </c>
      <c r="J57" s="2">
        <v>38</v>
      </c>
    </row>
    <row r="58" spans="1:10" x14ac:dyDescent="0.3">
      <c r="A58" s="2" t="s">
        <v>115</v>
      </c>
      <c r="B58" s="2" t="s">
        <v>29</v>
      </c>
      <c r="C58" s="2">
        <v>36.98924492862691</v>
      </c>
      <c r="D58" s="2">
        <v>94</v>
      </c>
      <c r="E58" s="2">
        <v>469</v>
      </c>
      <c r="F58" s="2">
        <v>5442.0867853976733</v>
      </c>
      <c r="G58" s="2" t="s">
        <v>11</v>
      </c>
      <c r="H58" s="2">
        <v>9</v>
      </c>
      <c r="I58" s="2">
        <v>8</v>
      </c>
      <c r="J58" s="2">
        <v>69</v>
      </c>
    </row>
    <row r="59" spans="1:10" x14ac:dyDescent="0.3">
      <c r="A59" s="2" t="s">
        <v>114</v>
      </c>
      <c r="B59" s="2" t="s">
        <v>90</v>
      </c>
      <c r="C59" s="2">
        <v>69.108799547430323</v>
      </c>
      <c r="D59" s="2">
        <v>23</v>
      </c>
      <c r="E59" s="2">
        <v>241</v>
      </c>
      <c r="F59" s="2">
        <v>5328.3759842977579</v>
      </c>
      <c r="G59" s="2" t="s">
        <v>20</v>
      </c>
      <c r="H59" s="2">
        <v>38</v>
      </c>
      <c r="I59" s="2">
        <v>1</v>
      </c>
      <c r="J59" s="2">
        <v>22</v>
      </c>
    </row>
    <row r="60" spans="1:10" x14ac:dyDescent="0.3">
      <c r="A60" s="2" t="s">
        <v>114</v>
      </c>
      <c r="B60" s="2" t="s">
        <v>59</v>
      </c>
      <c r="C60" s="2">
        <v>33.78413803306551</v>
      </c>
      <c r="D60" s="2">
        <v>1</v>
      </c>
      <c r="E60" s="2">
        <v>24</v>
      </c>
      <c r="F60" s="2">
        <v>5267.9568075105208</v>
      </c>
      <c r="G60" s="2" t="s">
        <v>20</v>
      </c>
      <c r="H60" s="2">
        <v>93</v>
      </c>
      <c r="I60" s="2">
        <v>7</v>
      </c>
      <c r="J60" s="2">
        <v>52</v>
      </c>
    </row>
    <row r="61" spans="1:10" x14ac:dyDescent="0.3">
      <c r="A61" s="2" t="s">
        <v>116</v>
      </c>
      <c r="B61" s="2" t="s">
        <v>47</v>
      </c>
      <c r="C61" s="2">
        <v>64.795435000155607</v>
      </c>
      <c r="D61" s="2">
        <v>63</v>
      </c>
      <c r="E61" s="2">
        <v>616</v>
      </c>
      <c r="F61" s="2">
        <v>5149.9983504080365</v>
      </c>
      <c r="G61" s="2" t="s">
        <v>11</v>
      </c>
      <c r="H61" s="2">
        <v>4</v>
      </c>
      <c r="I61" s="2">
        <v>17</v>
      </c>
      <c r="J61" s="2">
        <v>95</v>
      </c>
    </row>
    <row r="62" spans="1:10" x14ac:dyDescent="0.3">
      <c r="A62" s="2" t="s">
        <v>114</v>
      </c>
      <c r="B62" s="2" t="s">
        <v>101</v>
      </c>
      <c r="C62" s="2">
        <v>80.41403665035574</v>
      </c>
      <c r="D62" s="2">
        <v>24</v>
      </c>
      <c r="E62" s="2">
        <v>79</v>
      </c>
      <c r="F62" s="2">
        <v>5133.8467010866916</v>
      </c>
      <c r="G62" s="2" t="s">
        <v>20</v>
      </c>
      <c r="H62" s="2">
        <v>5</v>
      </c>
      <c r="I62" s="2">
        <v>7</v>
      </c>
      <c r="J62" s="2">
        <v>55</v>
      </c>
    </row>
    <row r="63" spans="1:10" x14ac:dyDescent="0.3">
      <c r="A63" s="2" t="s">
        <v>115</v>
      </c>
      <c r="B63" s="2" t="s">
        <v>23</v>
      </c>
      <c r="C63" s="2">
        <v>64.015732941278543</v>
      </c>
      <c r="D63" s="2">
        <v>35</v>
      </c>
      <c r="E63" s="2">
        <v>980</v>
      </c>
      <c r="F63" s="2">
        <v>4971.145987585558</v>
      </c>
      <c r="G63" s="2" t="s">
        <v>15</v>
      </c>
      <c r="H63" s="2">
        <v>14</v>
      </c>
      <c r="I63" s="2">
        <v>27</v>
      </c>
      <c r="J63" s="2">
        <v>83</v>
      </c>
    </row>
    <row r="64" spans="1:10" x14ac:dyDescent="0.3">
      <c r="A64" s="2" t="s">
        <v>115</v>
      </c>
      <c r="B64" s="2" t="s">
        <v>70</v>
      </c>
      <c r="C64" s="2">
        <v>20.986386037043378</v>
      </c>
      <c r="D64" s="2">
        <v>90</v>
      </c>
      <c r="E64" s="2">
        <v>93</v>
      </c>
      <c r="F64" s="2">
        <v>4767.020484344137</v>
      </c>
      <c r="G64" s="2" t="s">
        <v>11</v>
      </c>
      <c r="H64" s="2">
        <v>25</v>
      </c>
      <c r="I64" s="2">
        <v>23</v>
      </c>
      <c r="J64" s="2">
        <v>83</v>
      </c>
    </row>
    <row r="65" spans="1:10" x14ac:dyDescent="0.3">
      <c r="A65" s="2" t="s">
        <v>114</v>
      </c>
      <c r="B65" s="2" t="s">
        <v>107</v>
      </c>
      <c r="C65" s="2">
        <v>69.290831002905492</v>
      </c>
      <c r="D65" s="2">
        <v>88</v>
      </c>
      <c r="E65" s="2">
        <v>114</v>
      </c>
      <c r="F65" s="2">
        <v>4531.4021336919095</v>
      </c>
      <c r="G65" s="2" t="s">
        <v>15</v>
      </c>
      <c r="H65" s="2">
        <v>63</v>
      </c>
      <c r="I65" s="2">
        <v>17</v>
      </c>
      <c r="J65" s="2">
        <v>66</v>
      </c>
    </row>
    <row r="66" spans="1:10" x14ac:dyDescent="0.3">
      <c r="A66" s="2" t="s">
        <v>114</v>
      </c>
      <c r="B66" s="2" t="s">
        <v>95</v>
      </c>
      <c r="C66" s="2">
        <v>72.819206930318217</v>
      </c>
      <c r="D66" s="2">
        <v>9</v>
      </c>
      <c r="E66" s="2">
        <v>774</v>
      </c>
      <c r="F66" s="2">
        <v>4384.4134000458625</v>
      </c>
      <c r="G66" s="2" t="s">
        <v>15</v>
      </c>
      <c r="H66" s="2">
        <v>48</v>
      </c>
      <c r="I66" s="2">
        <v>6</v>
      </c>
      <c r="J66" s="2">
        <v>8</v>
      </c>
    </row>
    <row r="67" spans="1:10" x14ac:dyDescent="0.3">
      <c r="A67" s="2" t="s">
        <v>114</v>
      </c>
      <c r="B67" s="2" t="s">
        <v>111</v>
      </c>
      <c r="C67" s="2">
        <v>3.5261112591434158</v>
      </c>
      <c r="D67" s="2">
        <v>56</v>
      </c>
      <c r="E67" s="2">
        <v>62</v>
      </c>
      <c r="F67" s="2">
        <v>4370.9165799845359</v>
      </c>
      <c r="G67" s="2" t="s">
        <v>20</v>
      </c>
      <c r="H67" s="2">
        <v>46</v>
      </c>
      <c r="I67" s="2">
        <v>19</v>
      </c>
      <c r="J67" s="2">
        <v>4</v>
      </c>
    </row>
    <row r="68" spans="1:10" x14ac:dyDescent="0.3">
      <c r="A68" s="2" t="s">
        <v>115</v>
      </c>
      <c r="B68" s="2" t="s">
        <v>77</v>
      </c>
      <c r="C68" s="2">
        <v>13.017376785287857</v>
      </c>
      <c r="D68" s="2">
        <v>55</v>
      </c>
      <c r="E68" s="2">
        <v>246</v>
      </c>
      <c r="F68" s="2">
        <v>4256.9491408502254</v>
      </c>
      <c r="G68" s="2" t="s">
        <v>11</v>
      </c>
      <c r="H68" s="2">
        <v>54</v>
      </c>
      <c r="I68" s="2">
        <v>19</v>
      </c>
      <c r="J68" s="2">
        <v>10</v>
      </c>
    </row>
    <row r="69" spans="1:10" x14ac:dyDescent="0.3">
      <c r="A69" s="2" t="s">
        <v>115</v>
      </c>
      <c r="B69" s="2" t="s">
        <v>27</v>
      </c>
      <c r="C69" s="2">
        <v>16.160393317379977</v>
      </c>
      <c r="D69" s="2">
        <v>5</v>
      </c>
      <c r="E69" s="2">
        <v>249</v>
      </c>
      <c r="F69" s="2">
        <v>4052.7384162378667</v>
      </c>
      <c r="G69" s="2" t="s">
        <v>20</v>
      </c>
      <c r="H69" s="2">
        <v>80</v>
      </c>
      <c r="I69" s="2">
        <v>8</v>
      </c>
      <c r="J69" s="2">
        <v>48</v>
      </c>
    </row>
    <row r="70" spans="1:10" x14ac:dyDescent="0.3">
      <c r="A70" s="2" t="s">
        <v>116</v>
      </c>
      <c r="B70" s="2" t="s">
        <v>76</v>
      </c>
      <c r="C70" s="2">
        <v>72.796353955587364</v>
      </c>
      <c r="D70" s="2">
        <v>89</v>
      </c>
      <c r="E70" s="2">
        <v>270</v>
      </c>
      <c r="F70" s="2">
        <v>3899.7468337292244</v>
      </c>
      <c r="G70" s="2" t="s">
        <v>15</v>
      </c>
      <c r="H70" s="2">
        <v>86</v>
      </c>
      <c r="I70" s="2">
        <v>2</v>
      </c>
      <c r="J70" s="2">
        <v>40</v>
      </c>
    </row>
    <row r="71" spans="1:10" x14ac:dyDescent="0.3">
      <c r="A71" s="2" t="s">
        <v>114</v>
      </c>
      <c r="B71" s="2" t="s">
        <v>40</v>
      </c>
      <c r="C71" s="2">
        <v>97.44694661789282</v>
      </c>
      <c r="D71" s="2">
        <v>9</v>
      </c>
      <c r="E71" s="2">
        <v>353</v>
      </c>
      <c r="F71" s="2">
        <v>3716.4933258940368</v>
      </c>
      <c r="G71" s="2" t="s">
        <v>20</v>
      </c>
      <c r="H71" s="2">
        <v>59</v>
      </c>
      <c r="I71" s="2">
        <v>16</v>
      </c>
      <c r="J71" s="2">
        <v>48</v>
      </c>
    </row>
    <row r="72" spans="1:10" x14ac:dyDescent="0.3">
      <c r="A72" s="2" t="s">
        <v>114</v>
      </c>
      <c r="B72" s="2" t="s">
        <v>82</v>
      </c>
      <c r="C72" s="2">
        <v>37.931812382790319</v>
      </c>
      <c r="D72" s="2">
        <v>29</v>
      </c>
      <c r="E72" s="2">
        <v>163</v>
      </c>
      <c r="F72" s="2">
        <v>3550.2184327809919</v>
      </c>
      <c r="G72" s="2" t="s">
        <v>11</v>
      </c>
      <c r="H72" s="2">
        <v>0</v>
      </c>
      <c r="I72" s="2">
        <v>8</v>
      </c>
      <c r="J72" s="2">
        <v>58</v>
      </c>
    </row>
    <row r="73" spans="1:10" x14ac:dyDescent="0.3">
      <c r="A73" s="2" t="s">
        <v>115</v>
      </c>
      <c r="B73" s="2" t="s">
        <v>96</v>
      </c>
      <c r="C73" s="2">
        <v>17.034930739467917</v>
      </c>
      <c r="D73" s="2">
        <v>13</v>
      </c>
      <c r="E73" s="2">
        <v>336</v>
      </c>
      <c r="F73" s="2">
        <v>2943.3818676094515</v>
      </c>
      <c r="G73" s="2" t="s">
        <v>15</v>
      </c>
      <c r="H73" s="2">
        <v>42</v>
      </c>
      <c r="I73" s="2">
        <v>19</v>
      </c>
      <c r="J73" s="2">
        <v>72</v>
      </c>
    </row>
    <row r="74" spans="1:10" x14ac:dyDescent="0.3">
      <c r="A74" s="2" t="s">
        <v>114</v>
      </c>
      <c r="B74" s="2" t="s">
        <v>69</v>
      </c>
      <c r="C74" s="2">
        <v>79.855058340789427</v>
      </c>
      <c r="D74" s="2">
        <v>16</v>
      </c>
      <c r="E74" s="2">
        <v>701</v>
      </c>
      <c r="F74" s="2">
        <v>2925.6751703038126</v>
      </c>
      <c r="G74" s="2" t="s">
        <v>20</v>
      </c>
      <c r="H74" s="2">
        <v>97</v>
      </c>
      <c r="I74" s="2">
        <v>11</v>
      </c>
      <c r="J74" s="2">
        <v>11</v>
      </c>
    </row>
    <row r="75" spans="1:10" x14ac:dyDescent="0.3">
      <c r="A75" s="2" t="s">
        <v>114</v>
      </c>
      <c r="B75" s="2" t="s">
        <v>26</v>
      </c>
      <c r="C75" s="2">
        <v>71.213389075360084</v>
      </c>
      <c r="D75" s="2">
        <v>41</v>
      </c>
      <c r="E75" s="2">
        <v>336</v>
      </c>
      <c r="F75" s="2">
        <v>2873.7414460214413</v>
      </c>
      <c r="G75" s="2" t="s">
        <v>15</v>
      </c>
      <c r="H75" s="2">
        <v>100</v>
      </c>
      <c r="I75" s="2">
        <v>30</v>
      </c>
      <c r="J75" s="2">
        <v>85</v>
      </c>
    </row>
    <row r="76" spans="1:10" x14ac:dyDescent="0.3">
      <c r="A76" s="2" t="s">
        <v>114</v>
      </c>
      <c r="B76" s="2" t="s">
        <v>18</v>
      </c>
      <c r="C76" s="2">
        <v>1.6999760138659377</v>
      </c>
      <c r="D76" s="2">
        <v>87</v>
      </c>
      <c r="E76" s="2">
        <v>147</v>
      </c>
      <c r="F76" s="2">
        <v>2828.3487459757589</v>
      </c>
      <c r="G76" s="2" t="s">
        <v>11</v>
      </c>
      <c r="H76" s="2">
        <v>90</v>
      </c>
      <c r="I76" s="2">
        <v>27</v>
      </c>
      <c r="J76" s="2">
        <v>66</v>
      </c>
    </row>
    <row r="77" spans="1:10" x14ac:dyDescent="0.3">
      <c r="A77" s="2" t="s">
        <v>114</v>
      </c>
      <c r="B77" s="2" t="s">
        <v>44</v>
      </c>
      <c r="C77" s="2">
        <v>8.0228592105263932</v>
      </c>
      <c r="D77" s="2">
        <v>10</v>
      </c>
      <c r="E77" s="2">
        <v>327</v>
      </c>
      <c r="F77" s="2">
        <v>2766.3423668660889</v>
      </c>
      <c r="G77" s="2" t="s">
        <v>20</v>
      </c>
      <c r="H77" s="2">
        <v>60</v>
      </c>
      <c r="I77" s="2">
        <v>26</v>
      </c>
      <c r="J77" s="2">
        <v>35</v>
      </c>
    </row>
    <row r="78" spans="1:10" x14ac:dyDescent="0.3">
      <c r="A78" s="2" t="s">
        <v>115</v>
      </c>
      <c r="B78" s="2" t="s">
        <v>17</v>
      </c>
      <c r="C78" s="2">
        <v>4.8054960363458932</v>
      </c>
      <c r="D78" s="2">
        <v>26</v>
      </c>
      <c r="E78" s="2">
        <v>871</v>
      </c>
      <c r="F78" s="2">
        <v>2686.5051515674468</v>
      </c>
      <c r="G78" s="2" t="s">
        <v>11</v>
      </c>
      <c r="H78" s="2">
        <v>5</v>
      </c>
      <c r="I78" s="2">
        <v>3</v>
      </c>
      <c r="J78" s="2">
        <v>56</v>
      </c>
    </row>
    <row r="79" spans="1:10" x14ac:dyDescent="0.3">
      <c r="A79" s="2" t="s">
        <v>116</v>
      </c>
      <c r="B79" s="2" t="s">
        <v>41</v>
      </c>
      <c r="C79" s="2">
        <v>92.557360812402024</v>
      </c>
      <c r="D79" s="2">
        <v>42</v>
      </c>
      <c r="E79" s="2">
        <v>352</v>
      </c>
      <c r="F79" s="2">
        <v>2686.4572235759833</v>
      </c>
      <c r="G79" s="2" t="s">
        <v>15</v>
      </c>
      <c r="H79" s="2">
        <v>47</v>
      </c>
      <c r="I79" s="2">
        <v>9</v>
      </c>
      <c r="J79" s="2">
        <v>62</v>
      </c>
    </row>
    <row r="80" spans="1:10" x14ac:dyDescent="0.3">
      <c r="A80" s="2" t="s">
        <v>116</v>
      </c>
      <c r="B80" s="2" t="s">
        <v>86</v>
      </c>
      <c r="C80" s="2">
        <v>90.204427520528071</v>
      </c>
      <c r="D80" s="2">
        <v>88</v>
      </c>
      <c r="E80" s="2">
        <v>478</v>
      </c>
      <c r="F80" s="2">
        <v>2633.1219813122557</v>
      </c>
      <c r="G80" s="2" t="s">
        <v>11</v>
      </c>
      <c r="H80" s="2">
        <v>57</v>
      </c>
      <c r="I80" s="2">
        <v>29</v>
      </c>
      <c r="J80" s="2">
        <v>77</v>
      </c>
    </row>
    <row r="81" spans="1:10" x14ac:dyDescent="0.3">
      <c r="A81" s="2" t="s">
        <v>116</v>
      </c>
      <c r="B81" s="2" t="s">
        <v>31</v>
      </c>
      <c r="C81" s="2">
        <v>81.462534369237019</v>
      </c>
      <c r="D81" s="2">
        <v>82</v>
      </c>
      <c r="E81" s="2">
        <v>126</v>
      </c>
      <c r="F81" s="2">
        <v>2629.3964348452619</v>
      </c>
      <c r="G81" s="2" t="s">
        <v>13</v>
      </c>
      <c r="H81" s="2">
        <v>45</v>
      </c>
      <c r="I81" s="2">
        <v>17</v>
      </c>
      <c r="J81" s="2">
        <v>85</v>
      </c>
    </row>
    <row r="82" spans="1:10" x14ac:dyDescent="0.3">
      <c r="A82" s="2" t="s">
        <v>114</v>
      </c>
      <c r="B82" s="2" t="s">
        <v>60</v>
      </c>
      <c r="C82" s="2">
        <v>27.082207199888899</v>
      </c>
      <c r="D82" s="2">
        <v>75</v>
      </c>
      <c r="E82" s="2">
        <v>859</v>
      </c>
      <c r="F82" s="2">
        <v>2556.7673606335957</v>
      </c>
      <c r="G82" s="2" t="s">
        <v>11</v>
      </c>
      <c r="H82" s="2">
        <v>92</v>
      </c>
      <c r="I82" s="2">
        <v>29</v>
      </c>
      <c r="J82" s="2">
        <v>6</v>
      </c>
    </row>
    <row r="83" spans="1:10" x14ac:dyDescent="0.3">
      <c r="A83" s="2" t="s">
        <v>115</v>
      </c>
      <c r="B83" s="2" t="s">
        <v>33</v>
      </c>
      <c r="C83" s="2">
        <v>51.12387008796474</v>
      </c>
      <c r="D83" s="2">
        <v>100</v>
      </c>
      <c r="E83" s="2">
        <v>187</v>
      </c>
      <c r="F83" s="2">
        <v>2553.4955849912149</v>
      </c>
      <c r="G83" s="2" t="s">
        <v>15</v>
      </c>
      <c r="H83" s="2">
        <v>48</v>
      </c>
      <c r="I83" s="2">
        <v>11</v>
      </c>
      <c r="J83" s="2">
        <v>94</v>
      </c>
    </row>
    <row r="84" spans="1:10" x14ac:dyDescent="0.3">
      <c r="A84" s="2" t="s">
        <v>114</v>
      </c>
      <c r="B84" s="2" t="s">
        <v>91</v>
      </c>
      <c r="C84" s="2">
        <v>57.449742958971477</v>
      </c>
      <c r="D84" s="2">
        <v>14</v>
      </c>
      <c r="E84" s="2">
        <v>359</v>
      </c>
      <c r="F84" s="2">
        <v>2483.7601775427947</v>
      </c>
      <c r="G84" s="2" t="s">
        <v>15</v>
      </c>
      <c r="H84" s="2">
        <v>96</v>
      </c>
      <c r="I84" s="2">
        <v>28</v>
      </c>
      <c r="J84" s="2">
        <v>57</v>
      </c>
    </row>
    <row r="85" spans="1:10" x14ac:dyDescent="0.3">
      <c r="A85" s="2" t="s">
        <v>115</v>
      </c>
      <c r="B85" s="2" t="s">
        <v>51</v>
      </c>
      <c r="C85" s="2">
        <v>23.399844752614349</v>
      </c>
      <c r="D85" s="2">
        <v>5</v>
      </c>
      <c r="E85" s="2">
        <v>963</v>
      </c>
      <c r="F85" s="2">
        <v>2438.3399304700288</v>
      </c>
      <c r="G85" s="2" t="s">
        <v>13</v>
      </c>
      <c r="H85" s="2">
        <v>25</v>
      </c>
      <c r="I85" s="2">
        <v>8</v>
      </c>
      <c r="J85" s="2">
        <v>21</v>
      </c>
    </row>
    <row r="86" spans="1:10" x14ac:dyDescent="0.3">
      <c r="A86" s="2" t="s">
        <v>114</v>
      </c>
      <c r="B86" s="2" t="s">
        <v>97</v>
      </c>
      <c r="C86" s="2">
        <v>68.911246211606326</v>
      </c>
      <c r="D86" s="2">
        <v>82</v>
      </c>
      <c r="E86" s="2">
        <v>663</v>
      </c>
      <c r="F86" s="2">
        <v>2411.754632110491</v>
      </c>
      <c r="G86" s="2" t="s">
        <v>15</v>
      </c>
      <c r="H86" s="2">
        <v>65</v>
      </c>
      <c r="I86" s="2">
        <v>24</v>
      </c>
      <c r="J86" s="2">
        <v>7</v>
      </c>
    </row>
    <row r="87" spans="1:10" x14ac:dyDescent="0.3">
      <c r="A87" s="2" t="s">
        <v>114</v>
      </c>
      <c r="B87" s="2" t="s">
        <v>36</v>
      </c>
      <c r="C87" s="2">
        <v>27.679780886501959</v>
      </c>
      <c r="D87" s="2">
        <v>55</v>
      </c>
      <c r="E87" s="2">
        <v>884</v>
      </c>
      <c r="F87" s="2">
        <v>2390.8078665561734</v>
      </c>
      <c r="G87" s="2" t="s">
        <v>15</v>
      </c>
      <c r="H87" s="2">
        <v>71</v>
      </c>
      <c r="I87" s="2">
        <v>1</v>
      </c>
      <c r="J87" s="2">
        <v>63</v>
      </c>
    </row>
    <row r="88" spans="1:10" x14ac:dyDescent="0.3">
      <c r="A88" s="2" t="s">
        <v>115</v>
      </c>
      <c r="B88" s="2" t="s">
        <v>24</v>
      </c>
      <c r="C88" s="2">
        <v>15.707795681912138</v>
      </c>
      <c r="D88" s="2">
        <v>11</v>
      </c>
      <c r="E88" s="2">
        <v>996</v>
      </c>
      <c r="F88" s="2">
        <v>2330.9658020919492</v>
      </c>
      <c r="G88" s="2" t="s">
        <v>11</v>
      </c>
      <c r="H88" s="2">
        <v>51</v>
      </c>
      <c r="I88" s="2">
        <v>13</v>
      </c>
      <c r="J88" s="2">
        <v>80</v>
      </c>
    </row>
    <row r="89" spans="1:10" x14ac:dyDescent="0.3">
      <c r="A89" s="2" t="s">
        <v>114</v>
      </c>
      <c r="B89" s="2" t="s">
        <v>39</v>
      </c>
      <c r="C89" s="2">
        <v>39.629343985092625</v>
      </c>
      <c r="D89" s="2">
        <v>73</v>
      </c>
      <c r="E89" s="2">
        <v>142</v>
      </c>
      <c r="F89" s="2">
        <v>2174.777054350654</v>
      </c>
      <c r="G89" s="2" t="s">
        <v>20</v>
      </c>
      <c r="H89" s="2">
        <v>82</v>
      </c>
      <c r="I89" s="2">
        <v>11</v>
      </c>
      <c r="J89" s="2">
        <v>52</v>
      </c>
    </row>
    <row r="90" spans="1:10" x14ac:dyDescent="0.3">
      <c r="A90" s="2" t="s">
        <v>116</v>
      </c>
      <c r="B90" s="2" t="s">
        <v>106</v>
      </c>
      <c r="C90" s="2">
        <v>47.714233075820232</v>
      </c>
      <c r="D90" s="2">
        <v>44</v>
      </c>
      <c r="E90" s="2">
        <v>276</v>
      </c>
      <c r="F90" s="2">
        <v>2100.1297546259366</v>
      </c>
      <c r="G90" s="2" t="s">
        <v>20</v>
      </c>
      <c r="H90" s="2">
        <v>90</v>
      </c>
      <c r="I90" s="2">
        <v>25</v>
      </c>
      <c r="J90" s="2">
        <v>10</v>
      </c>
    </row>
    <row r="91" spans="1:10" x14ac:dyDescent="0.3">
      <c r="A91" s="2" t="s">
        <v>114</v>
      </c>
      <c r="B91" s="2" t="s">
        <v>98</v>
      </c>
      <c r="C91" s="2">
        <v>89.104367292102253</v>
      </c>
      <c r="D91" s="2">
        <v>99</v>
      </c>
      <c r="E91" s="2">
        <v>618</v>
      </c>
      <c r="F91" s="2">
        <v>2048.2900998487103</v>
      </c>
      <c r="G91" s="2" t="s">
        <v>15</v>
      </c>
      <c r="H91" s="2">
        <v>73</v>
      </c>
      <c r="I91" s="2">
        <v>26</v>
      </c>
      <c r="J91" s="2">
        <v>80</v>
      </c>
    </row>
    <row r="92" spans="1:10" x14ac:dyDescent="0.3">
      <c r="A92" s="2" t="s">
        <v>115</v>
      </c>
      <c r="B92" s="2" t="s">
        <v>72</v>
      </c>
      <c r="C92" s="2">
        <v>59.84156137728931</v>
      </c>
      <c r="D92" s="2">
        <v>81</v>
      </c>
      <c r="E92" s="2">
        <v>896</v>
      </c>
      <c r="F92" s="2">
        <v>2021.1498103371077</v>
      </c>
      <c r="G92" s="2" t="s">
        <v>11</v>
      </c>
      <c r="H92" s="2">
        <v>10</v>
      </c>
      <c r="I92" s="2">
        <v>5</v>
      </c>
      <c r="J92" s="2">
        <v>44</v>
      </c>
    </row>
    <row r="93" spans="1:10" x14ac:dyDescent="0.3">
      <c r="A93" s="2" t="s">
        <v>116</v>
      </c>
      <c r="B93" s="2" t="s">
        <v>105</v>
      </c>
      <c r="C93" s="2">
        <v>62.111965463961788</v>
      </c>
      <c r="D93" s="2">
        <v>90</v>
      </c>
      <c r="E93" s="2">
        <v>916</v>
      </c>
      <c r="F93" s="2">
        <v>1935.2067935075991</v>
      </c>
      <c r="G93" s="2" t="s">
        <v>20</v>
      </c>
      <c r="H93" s="2">
        <v>98</v>
      </c>
      <c r="I93" s="2">
        <v>22</v>
      </c>
      <c r="J93" s="2">
        <v>85</v>
      </c>
    </row>
    <row r="94" spans="1:10" x14ac:dyDescent="0.3">
      <c r="A94" s="2" t="s">
        <v>115</v>
      </c>
      <c r="B94" s="2" t="s">
        <v>53</v>
      </c>
      <c r="C94" s="2">
        <v>19.127477265823256</v>
      </c>
      <c r="D94" s="2">
        <v>26</v>
      </c>
      <c r="E94" s="2">
        <v>176</v>
      </c>
      <c r="F94" s="2">
        <v>1912.4656631007608</v>
      </c>
      <c r="G94" s="2" t="s">
        <v>13</v>
      </c>
      <c r="H94" s="2">
        <v>78</v>
      </c>
      <c r="I94" s="2">
        <v>29</v>
      </c>
      <c r="J94" s="2">
        <v>34</v>
      </c>
    </row>
    <row r="95" spans="1:10" x14ac:dyDescent="0.3">
      <c r="A95" s="2" t="s">
        <v>115</v>
      </c>
      <c r="B95" s="2" t="s">
        <v>89</v>
      </c>
      <c r="C95" s="2">
        <v>92.996884233970661</v>
      </c>
      <c r="D95" s="2">
        <v>29</v>
      </c>
      <c r="E95" s="2">
        <v>106</v>
      </c>
      <c r="F95" s="2">
        <v>1889.073589779335</v>
      </c>
      <c r="G95" s="2" t="s">
        <v>11</v>
      </c>
      <c r="H95" s="2">
        <v>16</v>
      </c>
      <c r="I95" s="2">
        <v>20</v>
      </c>
      <c r="J95" s="2">
        <v>56</v>
      </c>
    </row>
    <row r="96" spans="1:10" x14ac:dyDescent="0.3">
      <c r="A96" s="2" t="s">
        <v>115</v>
      </c>
      <c r="B96" s="2" t="s">
        <v>56</v>
      </c>
      <c r="C96" s="2">
        <v>46.529167614516773</v>
      </c>
      <c r="D96" s="2">
        <v>98</v>
      </c>
      <c r="E96" s="2">
        <v>155</v>
      </c>
      <c r="F96" s="2">
        <v>1839.6094258567639</v>
      </c>
      <c r="G96" s="2" t="s">
        <v>13</v>
      </c>
      <c r="H96" s="2">
        <v>22</v>
      </c>
      <c r="I96" s="2">
        <v>27</v>
      </c>
      <c r="J96" s="2">
        <v>57</v>
      </c>
    </row>
    <row r="97" spans="1:10" x14ac:dyDescent="0.3">
      <c r="A97" s="2" t="s">
        <v>115</v>
      </c>
      <c r="B97" s="2" t="s">
        <v>83</v>
      </c>
      <c r="C97" s="2">
        <v>54.865528517069791</v>
      </c>
      <c r="D97" s="2">
        <v>62</v>
      </c>
      <c r="E97" s="2">
        <v>511</v>
      </c>
      <c r="F97" s="2">
        <v>1752.3810874841247</v>
      </c>
      <c r="G97" s="2" t="s">
        <v>11</v>
      </c>
      <c r="H97" s="2">
        <v>95</v>
      </c>
      <c r="I97" s="2">
        <v>1</v>
      </c>
      <c r="J97" s="2">
        <v>27</v>
      </c>
    </row>
    <row r="98" spans="1:10" x14ac:dyDescent="0.3">
      <c r="A98" s="2" t="s">
        <v>114</v>
      </c>
      <c r="B98" s="2" t="s">
        <v>71</v>
      </c>
      <c r="C98" s="2">
        <v>49.263205350734154</v>
      </c>
      <c r="D98" s="2">
        <v>65</v>
      </c>
      <c r="E98" s="2">
        <v>227</v>
      </c>
      <c r="F98" s="2">
        <v>1605.8669003924058</v>
      </c>
      <c r="G98" s="2" t="s">
        <v>15</v>
      </c>
      <c r="H98" s="2">
        <v>5</v>
      </c>
      <c r="I98" s="2">
        <v>18</v>
      </c>
      <c r="J98" s="2">
        <v>51</v>
      </c>
    </row>
    <row r="99" spans="1:10" x14ac:dyDescent="0.3">
      <c r="A99" s="2" t="s">
        <v>114</v>
      </c>
      <c r="B99" s="2" t="s">
        <v>92</v>
      </c>
      <c r="C99" s="2">
        <v>6.3068831761119153</v>
      </c>
      <c r="D99" s="2">
        <v>50</v>
      </c>
      <c r="E99" s="2">
        <v>946</v>
      </c>
      <c r="F99" s="2">
        <v>1292.4584179377562</v>
      </c>
      <c r="G99" s="2" t="s">
        <v>15</v>
      </c>
      <c r="H99" s="2">
        <v>5</v>
      </c>
      <c r="I99" s="2">
        <v>4</v>
      </c>
      <c r="J99" s="2">
        <v>51</v>
      </c>
    </row>
    <row r="100" spans="1:10" x14ac:dyDescent="0.3">
      <c r="A100" s="2" t="s">
        <v>115</v>
      </c>
      <c r="B100" s="2" t="s">
        <v>100</v>
      </c>
      <c r="C100" s="2">
        <v>19.998176940404221</v>
      </c>
      <c r="D100" s="2">
        <v>18</v>
      </c>
      <c r="E100" s="2">
        <v>223</v>
      </c>
      <c r="F100" s="2">
        <v>1229.5910285649834</v>
      </c>
      <c r="G100" s="2" t="s">
        <v>15</v>
      </c>
      <c r="H100" s="2">
        <v>32</v>
      </c>
      <c r="I100" s="2">
        <v>14</v>
      </c>
      <c r="J100" s="2">
        <v>22</v>
      </c>
    </row>
    <row r="101" spans="1:10" x14ac:dyDescent="0.3">
      <c r="A101" s="2" t="s">
        <v>116</v>
      </c>
      <c r="B101" s="2" t="s">
        <v>73</v>
      </c>
      <c r="C101" s="2">
        <v>63.828398347710966</v>
      </c>
      <c r="D101" s="2">
        <v>30</v>
      </c>
      <c r="E101" s="2">
        <v>484</v>
      </c>
      <c r="F101" s="2">
        <v>1061.6185230132901</v>
      </c>
      <c r="G101" s="2" t="s">
        <v>11</v>
      </c>
      <c r="H101" s="2">
        <v>100</v>
      </c>
      <c r="I101" s="2">
        <v>16</v>
      </c>
      <c r="J101" s="2">
        <v>26</v>
      </c>
    </row>
  </sheetData>
  <conditionalFormatting sqref="H1:H1048576">
    <cfRule type="cellIs" dxfId="12" priority="1" operator="lessThan">
      <formula>20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8BE627-7729-4D65-B5E8-5018BFE41A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supply_chain_data-selected-colu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2026-07-05T18:36:05Z</dcterms:modified>
</cp:coreProperties>
</file>